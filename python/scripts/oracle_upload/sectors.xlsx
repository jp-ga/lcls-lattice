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D_ACCEL\20261014s\RDB\"/>
    </mc:Choice>
  </mc:AlternateContent>
  <xr:revisionPtr revIDLastSave="0" documentId="13_ncr:1_{8573CF49-38FF-4166-8A8B-2615C1158284}" xr6:coauthVersionLast="47" xr6:coauthVersionMax="47" xr10:uidLastSave="{00000000-0000-0000-0000-000000000000}"/>
  <bookViews>
    <workbookView xWindow="11460" yWindow="1620" windowWidth="14955" windowHeight="18510" xr2:uid="{00000000-000D-0000-FFFF-FFFF00000000}"/>
  </bookViews>
  <sheets>
    <sheet name="scS" sheetId="3" r:id="rId1"/>
    <sheet name="cuH" sheetId="2" r:id="rId2"/>
    <sheet name="SXR" sheetId="4" r:id="rId3"/>
    <sheet name="HXR" sheetId="5" r:id="rId4"/>
  </sheets>
  <definedNames>
    <definedName name="_xlnm.Print_Area" localSheetId="1">cuH!$A$1:$S$34</definedName>
    <definedName name="_xlnm.Print_Area" localSheetId="0">scS!$A$1:$S$53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3" l="1"/>
  <c r="G16" i="3" s="1"/>
  <c r="H16" i="3" s="1"/>
  <c r="E16" i="3"/>
  <c r="F15" i="3"/>
  <c r="G15" i="3" s="1"/>
  <c r="H15" i="3" s="1"/>
  <c r="E15" i="3"/>
  <c r="F14" i="3"/>
  <c r="G14" i="3" s="1"/>
  <c r="H14" i="3" s="1"/>
  <c r="E14" i="3"/>
  <c r="F13" i="3"/>
  <c r="G13" i="3" s="1"/>
  <c r="H13" i="3" s="1"/>
  <c r="E13" i="3"/>
  <c r="M76" i="3" l="1"/>
  <c r="M75" i="3"/>
  <c r="M74" i="3"/>
  <c r="M73" i="3"/>
  <c r="M72" i="3"/>
  <c r="M71" i="3"/>
  <c r="M70" i="3"/>
  <c r="M69" i="3"/>
  <c r="M68" i="3"/>
  <c r="M67" i="3"/>
  <c r="M66" i="3"/>
  <c r="M65" i="3"/>
  <c r="M62" i="3"/>
  <c r="G63" i="3"/>
  <c r="H63" i="3" s="1"/>
  <c r="G64" i="3"/>
  <c r="H64" i="3" s="1"/>
  <c r="G61" i="3"/>
  <c r="H61" i="3" s="1"/>
  <c r="G60" i="3"/>
  <c r="H60" i="3" s="1"/>
  <c r="G38" i="2"/>
  <c r="H38" i="2" s="1"/>
  <c r="G39" i="2"/>
  <c r="H39" i="2" s="1"/>
  <c r="G37" i="2"/>
  <c r="H37" i="2" s="1"/>
  <c r="G74" i="3"/>
  <c r="H74" i="3" s="1"/>
  <c r="G76" i="3"/>
  <c r="H76" i="3" s="1"/>
  <c r="G75" i="3"/>
  <c r="H75" i="3" s="1"/>
  <c r="C76" i="3"/>
  <c r="A76" i="3"/>
  <c r="C75" i="3"/>
  <c r="A75" i="3"/>
  <c r="C74" i="3"/>
  <c r="A74" i="3"/>
  <c r="F73" i="3"/>
  <c r="C73" i="3"/>
  <c r="A73" i="3"/>
  <c r="F72" i="3"/>
  <c r="C72" i="3"/>
  <c r="A72" i="3"/>
  <c r="A71" i="3"/>
  <c r="A70" i="3"/>
  <c r="A69" i="3"/>
  <c r="A68" i="3"/>
  <c r="A67" i="3"/>
  <c r="A66" i="3"/>
  <c r="A65" i="3"/>
  <c r="A62" i="3"/>
  <c r="C71" i="3"/>
  <c r="C70" i="3"/>
  <c r="C69" i="3"/>
  <c r="C68" i="3"/>
  <c r="C67" i="3"/>
  <c r="C66" i="3"/>
  <c r="C65" i="3"/>
  <c r="C62" i="3"/>
  <c r="F71" i="3"/>
  <c r="D67" i="3"/>
  <c r="D66" i="3"/>
  <c r="D62" i="3"/>
  <c r="F12" i="3"/>
  <c r="G59" i="3"/>
  <c r="H59" i="3" s="1"/>
  <c r="G58" i="3"/>
  <c r="H58" i="3" s="1"/>
  <c r="G56" i="3"/>
  <c r="H56" i="3" s="1"/>
  <c r="G55" i="3"/>
  <c r="H55" i="3" s="1"/>
  <c r="G35" i="2"/>
  <c r="H35" i="2"/>
  <c r="E33" i="2"/>
  <c r="G33" i="2" s="1"/>
  <c r="H33" i="2" s="1"/>
  <c r="E32" i="2"/>
  <c r="G32" i="2" s="1"/>
  <c r="H32" i="2" s="1"/>
  <c r="E31" i="2"/>
  <c r="G31" i="2" s="1"/>
  <c r="H31" i="2" s="1"/>
  <c r="E30" i="2"/>
  <c r="G30" i="2" s="1"/>
  <c r="H30" i="2" s="1"/>
  <c r="E29" i="2"/>
  <c r="G29" i="2" s="1"/>
  <c r="H29" i="2" s="1"/>
  <c r="E28" i="2"/>
  <c r="G28" i="2" s="1"/>
  <c r="H28" i="2" s="1"/>
  <c r="E27" i="2"/>
  <c r="G27" i="2" s="1"/>
  <c r="H27" i="2" s="1"/>
  <c r="E26" i="2"/>
  <c r="G26" i="2" s="1"/>
  <c r="H26" i="2" s="1"/>
  <c r="E25" i="2"/>
  <c r="G25" i="2" s="1"/>
  <c r="H25" i="2" s="1"/>
  <c r="E24" i="2"/>
  <c r="G24" i="2" s="1"/>
  <c r="H24" i="2" s="1"/>
  <c r="E23" i="2"/>
  <c r="G23" i="2" s="1"/>
  <c r="H23" i="2" s="1"/>
  <c r="E22" i="2"/>
  <c r="G22" i="2" s="1"/>
  <c r="H22" i="2" s="1"/>
  <c r="E21" i="2"/>
  <c r="G21" i="2" s="1"/>
  <c r="H21" i="2" s="1"/>
  <c r="E20" i="2"/>
  <c r="G20" i="2" s="1"/>
  <c r="H20" i="2" s="1"/>
  <c r="E19" i="2"/>
  <c r="G19" i="2" s="1"/>
  <c r="H19" i="2" s="1"/>
  <c r="E18" i="2"/>
  <c r="G18" i="2" s="1"/>
  <c r="H18" i="2" s="1"/>
  <c r="E17" i="2"/>
  <c r="G17" i="2" s="1"/>
  <c r="H17" i="2" s="1"/>
  <c r="E16" i="2"/>
  <c r="G16" i="2" s="1"/>
  <c r="H16" i="2" s="1"/>
  <c r="F13" i="2"/>
  <c r="E14" i="2"/>
  <c r="G14" i="2" s="1"/>
  <c r="H14" i="2" s="1"/>
  <c r="F12" i="2"/>
  <c r="E13" i="2" s="1"/>
  <c r="F11" i="2"/>
  <c r="F10" i="2"/>
  <c r="E11" i="2" s="1"/>
  <c r="F9" i="2"/>
  <c r="E10" i="2" s="1"/>
  <c r="F8" i="2"/>
  <c r="E9" i="2" s="1"/>
  <c r="F7" i="2"/>
  <c r="E8" i="2" s="1"/>
  <c r="F6" i="2"/>
  <c r="E7" i="2" s="1"/>
  <c r="G7" i="2" s="1"/>
  <c r="H7" i="2" s="1"/>
  <c r="F5" i="2"/>
  <c r="E6" i="2"/>
  <c r="G6" i="2" s="1"/>
  <c r="H6" i="2" s="1"/>
  <c r="E5" i="2"/>
  <c r="E53" i="3"/>
  <c r="G53" i="3" s="1"/>
  <c r="H53" i="3" s="1"/>
  <c r="E52" i="3"/>
  <c r="G52" i="3" s="1"/>
  <c r="H52" i="3" s="1"/>
  <c r="E51" i="3"/>
  <c r="G51" i="3" s="1"/>
  <c r="H51" i="3" s="1"/>
  <c r="E50" i="3"/>
  <c r="G50" i="3" s="1"/>
  <c r="H50" i="3" s="1"/>
  <c r="E49" i="3"/>
  <c r="G49" i="3" s="1"/>
  <c r="H49" i="3" s="1"/>
  <c r="E48" i="3"/>
  <c r="G48" i="3" s="1"/>
  <c r="H48" i="3" s="1"/>
  <c r="E47" i="3"/>
  <c r="G47" i="3" s="1"/>
  <c r="H47" i="3" s="1"/>
  <c r="E46" i="3"/>
  <c r="G46" i="3" s="1"/>
  <c r="H46" i="3" s="1"/>
  <c r="E45" i="3"/>
  <c r="G45" i="3" s="1"/>
  <c r="H45" i="3" s="1"/>
  <c r="E44" i="3"/>
  <c r="G44" i="3" s="1"/>
  <c r="H44" i="3" s="1"/>
  <c r="E43" i="3"/>
  <c r="G43" i="3" s="1"/>
  <c r="H43" i="3" s="1"/>
  <c r="E42" i="3"/>
  <c r="G42" i="3" s="1"/>
  <c r="H42" i="3" s="1"/>
  <c r="E41" i="3"/>
  <c r="G41" i="3" s="1"/>
  <c r="H41" i="3" s="1"/>
  <c r="E40" i="3"/>
  <c r="G40" i="3" s="1"/>
  <c r="H40" i="3" s="1"/>
  <c r="E39" i="3"/>
  <c r="G39" i="3" s="1"/>
  <c r="H39" i="3" s="1"/>
  <c r="E38" i="3"/>
  <c r="G38" i="3" s="1"/>
  <c r="H38" i="3" s="1"/>
  <c r="E37" i="3"/>
  <c r="G37" i="3" s="1"/>
  <c r="H37" i="3" s="1"/>
  <c r="E36" i="3"/>
  <c r="G36" i="3" s="1"/>
  <c r="H36" i="3" s="1"/>
  <c r="F33" i="3"/>
  <c r="E34" i="3" s="1"/>
  <c r="G34" i="3" s="1"/>
  <c r="H34" i="3" s="1"/>
  <c r="H72" i="3" s="1"/>
  <c r="F32" i="3"/>
  <c r="F65" i="3" s="1"/>
  <c r="F31" i="3"/>
  <c r="E32" i="3" s="1"/>
  <c r="E65" i="3" s="1"/>
  <c r="F30" i="3"/>
  <c r="F29" i="3"/>
  <c r="E30" i="3" s="1"/>
  <c r="F28" i="3"/>
  <c r="E29" i="3" s="1"/>
  <c r="F27" i="3"/>
  <c r="E28" i="3" s="1"/>
  <c r="F26" i="3"/>
  <c r="E27" i="3" s="1"/>
  <c r="F25" i="3"/>
  <c r="F24" i="3"/>
  <c r="E25" i="3" s="1"/>
  <c r="F23" i="3"/>
  <c r="E24" i="3" s="1"/>
  <c r="F22" i="3"/>
  <c r="E23" i="3" s="1"/>
  <c r="F21" i="3"/>
  <c r="E22" i="3" s="1"/>
  <c r="F20" i="3"/>
  <c r="F19" i="3"/>
  <c r="F18" i="3"/>
  <c r="E19" i="3" s="1"/>
  <c r="F17" i="3"/>
  <c r="E18" i="3" s="1"/>
  <c r="E17" i="3"/>
  <c r="F11" i="3"/>
  <c r="E12" i="3" s="1"/>
  <c r="F10" i="3"/>
  <c r="E11" i="3" s="1"/>
  <c r="F9" i="3"/>
  <c r="E10" i="3" s="1"/>
  <c r="F8" i="3"/>
  <c r="E9" i="3" s="1"/>
  <c r="F7" i="3"/>
  <c r="E8" i="3" s="1"/>
  <c r="F6" i="3"/>
  <c r="E7" i="3" s="1"/>
  <c r="F5" i="3"/>
  <c r="E6" i="3" s="1"/>
  <c r="E5" i="3"/>
  <c r="E62" i="3" s="1"/>
  <c r="F4" i="5"/>
  <c r="G4" i="5"/>
  <c r="F3" i="5"/>
  <c r="G3" i="5"/>
  <c r="F2" i="5"/>
  <c r="G2" i="5"/>
  <c r="F39" i="5"/>
  <c r="G39" i="5"/>
  <c r="F38" i="5"/>
  <c r="G38" i="5"/>
  <c r="F37" i="5"/>
  <c r="G37" i="5"/>
  <c r="F36" i="5"/>
  <c r="G36" i="5"/>
  <c r="F35" i="5"/>
  <c r="G35" i="5"/>
  <c r="F34" i="5"/>
  <c r="G34" i="5"/>
  <c r="F33" i="5"/>
  <c r="G33" i="5"/>
  <c r="F32" i="5"/>
  <c r="G32" i="5"/>
  <c r="F31" i="5"/>
  <c r="G31" i="5"/>
  <c r="F30" i="5"/>
  <c r="G30" i="5"/>
  <c r="F29" i="5"/>
  <c r="G29" i="5"/>
  <c r="F28" i="5"/>
  <c r="G28" i="5"/>
  <c r="F27" i="5"/>
  <c r="G27" i="5"/>
  <c r="F26" i="5"/>
  <c r="G26" i="5"/>
  <c r="F25" i="5"/>
  <c r="G25" i="5"/>
  <c r="F24" i="5"/>
  <c r="G24" i="5"/>
  <c r="F23" i="5"/>
  <c r="G23" i="5"/>
  <c r="F22" i="5"/>
  <c r="G22" i="5"/>
  <c r="F21" i="5"/>
  <c r="G21" i="5"/>
  <c r="F20" i="5"/>
  <c r="G20" i="5"/>
  <c r="F19" i="5"/>
  <c r="G19" i="5"/>
  <c r="F18" i="5"/>
  <c r="G18" i="5"/>
  <c r="F17" i="5"/>
  <c r="G17" i="5"/>
  <c r="F16" i="5"/>
  <c r="G16" i="5"/>
  <c r="F15" i="5"/>
  <c r="G15" i="5"/>
  <c r="F14" i="5"/>
  <c r="G14" i="5"/>
  <c r="F13" i="5"/>
  <c r="G13" i="5"/>
  <c r="F12" i="5"/>
  <c r="G12" i="5"/>
  <c r="F11" i="5"/>
  <c r="G11" i="5"/>
  <c r="F10" i="5"/>
  <c r="G10" i="5"/>
  <c r="F9" i="5"/>
  <c r="G9" i="5"/>
  <c r="F8" i="5"/>
  <c r="G8" i="5"/>
  <c r="F7" i="5"/>
  <c r="G7" i="5"/>
  <c r="F6" i="5"/>
  <c r="G6" i="5"/>
  <c r="F5" i="5"/>
  <c r="G5" i="5"/>
  <c r="F36" i="4"/>
  <c r="G36" i="4"/>
  <c r="F35" i="4"/>
  <c r="G35" i="4"/>
  <c r="F34" i="4"/>
  <c r="G34" i="4"/>
  <c r="F33" i="4"/>
  <c r="G33" i="4"/>
  <c r="F32" i="4"/>
  <c r="G32" i="4"/>
  <c r="F31" i="4"/>
  <c r="G31" i="4"/>
  <c r="F30" i="4"/>
  <c r="G30" i="4"/>
  <c r="F29" i="4"/>
  <c r="G29" i="4"/>
  <c r="F15" i="4"/>
  <c r="G15" i="4"/>
  <c r="F14" i="4"/>
  <c r="G14" i="4"/>
  <c r="F28" i="4"/>
  <c r="G28" i="4"/>
  <c r="F27" i="4"/>
  <c r="G27" i="4"/>
  <c r="F26" i="4"/>
  <c r="G26" i="4"/>
  <c r="F25" i="4"/>
  <c r="G25" i="4"/>
  <c r="F24" i="4"/>
  <c r="G24" i="4"/>
  <c r="F23" i="4"/>
  <c r="G23" i="4"/>
  <c r="F22" i="4"/>
  <c r="G22" i="4"/>
  <c r="F21" i="4"/>
  <c r="G21" i="4"/>
  <c r="F20" i="4"/>
  <c r="G20" i="4"/>
  <c r="F19" i="4"/>
  <c r="G19" i="4"/>
  <c r="F18" i="4"/>
  <c r="G18" i="4"/>
  <c r="F17" i="4"/>
  <c r="G17" i="4"/>
  <c r="F16" i="4"/>
  <c r="G16" i="4"/>
  <c r="F13" i="4"/>
  <c r="G13" i="4"/>
  <c r="F12" i="4"/>
  <c r="G12" i="4"/>
  <c r="F11" i="4"/>
  <c r="G11" i="4"/>
  <c r="F10" i="4"/>
  <c r="G10" i="4"/>
  <c r="F9" i="4"/>
  <c r="G9" i="4"/>
  <c r="F8" i="4"/>
  <c r="G8" i="4"/>
  <c r="F7" i="4"/>
  <c r="G7" i="4"/>
  <c r="F6" i="4"/>
  <c r="G6" i="4"/>
  <c r="F5" i="4"/>
  <c r="G5" i="4"/>
  <c r="F4" i="4"/>
  <c r="G4" i="4"/>
  <c r="F3" i="4"/>
  <c r="G3" i="4"/>
  <c r="F2" i="4"/>
  <c r="G2" i="4"/>
  <c r="G4" i="3"/>
  <c r="H4" i="3" s="1"/>
  <c r="G57" i="3"/>
  <c r="H57" i="3" s="1"/>
  <c r="G54" i="3"/>
  <c r="H54" i="3" s="1"/>
  <c r="G36" i="2"/>
  <c r="H36" i="2" s="1"/>
  <c r="G34" i="2"/>
  <c r="H34" i="2" s="1"/>
  <c r="G4" i="2"/>
  <c r="H4" i="2" s="1"/>
  <c r="G35" i="3"/>
  <c r="H35" i="3" s="1"/>
  <c r="G15" i="2"/>
  <c r="H15" i="2" s="1"/>
  <c r="G5" i="2" l="1"/>
  <c r="H5" i="2" s="1"/>
  <c r="G13" i="2"/>
  <c r="H13" i="2" s="1"/>
  <c r="G11" i="2"/>
  <c r="H11" i="2" s="1"/>
  <c r="G10" i="2"/>
  <c r="H10" i="2" s="1"/>
  <c r="E12" i="2"/>
  <c r="G12" i="2" s="1"/>
  <c r="H12" i="2" s="1"/>
  <c r="E73" i="3"/>
  <c r="G73" i="3"/>
  <c r="H73" i="3"/>
  <c r="E72" i="3"/>
  <c r="G71" i="3"/>
  <c r="H71" i="3"/>
  <c r="G72" i="3"/>
  <c r="E71" i="3"/>
  <c r="F70" i="3"/>
  <c r="F68" i="3"/>
  <c r="F69" i="3"/>
  <c r="E67" i="3"/>
  <c r="F67" i="3"/>
  <c r="F62" i="3"/>
  <c r="E66" i="3"/>
  <c r="F66" i="3"/>
  <c r="E33" i="3"/>
  <c r="E70" i="3" s="1"/>
  <c r="G9" i="2"/>
  <c r="H9" i="2" s="1"/>
  <c r="G8" i="2"/>
  <c r="H8" i="2" s="1"/>
  <c r="G12" i="3"/>
  <c r="H12" i="3" s="1"/>
  <c r="G7" i="3"/>
  <c r="H7" i="3" s="1"/>
  <c r="G22" i="3"/>
  <c r="H22" i="3" s="1"/>
  <c r="G29" i="3"/>
  <c r="H29" i="3" s="1"/>
  <c r="G32" i="3"/>
  <c r="G67" i="3" s="1"/>
  <c r="G6" i="3"/>
  <c r="H6" i="3" s="1"/>
  <c r="G5" i="3"/>
  <c r="G18" i="3"/>
  <c r="H18" i="3" s="1"/>
  <c r="G25" i="3"/>
  <c r="H25" i="3" s="1"/>
  <c r="G30" i="3"/>
  <c r="H30" i="3" s="1"/>
  <c r="G17" i="3"/>
  <c r="H17" i="3" s="1"/>
  <c r="G19" i="3"/>
  <c r="H19" i="3" s="1"/>
  <c r="G24" i="3"/>
  <c r="H24" i="3" s="1"/>
  <c r="G8" i="3"/>
  <c r="H8" i="3" s="1"/>
  <c r="G10" i="3"/>
  <c r="H10" i="3" s="1"/>
  <c r="G28" i="3"/>
  <c r="H28" i="3" s="1"/>
  <c r="G23" i="3"/>
  <c r="H23" i="3" s="1"/>
  <c r="E20" i="3"/>
  <c r="G20" i="3" s="1"/>
  <c r="H20" i="3" s="1"/>
  <c r="E21" i="3"/>
  <c r="G21" i="3" s="1"/>
  <c r="H21" i="3" s="1"/>
  <c r="G11" i="3"/>
  <c r="H11" i="3" s="1"/>
  <c r="G9" i="3"/>
  <c r="H9" i="3" s="1"/>
  <c r="E31" i="3"/>
  <c r="G31" i="3" s="1"/>
  <c r="H31" i="3" s="1"/>
  <c r="E26" i="3"/>
  <c r="G26" i="3" s="1"/>
  <c r="H26" i="3" s="1"/>
  <c r="G27" i="3"/>
  <c r="H27" i="3" s="1"/>
  <c r="G33" i="3" l="1"/>
  <c r="G70" i="3" s="1"/>
  <c r="E68" i="3"/>
  <c r="E69" i="3"/>
  <c r="H32" i="3"/>
  <c r="G66" i="3"/>
  <c r="G65" i="3"/>
  <c r="H5" i="3"/>
  <c r="H62" i="3" s="1"/>
  <c r="G62" i="3"/>
  <c r="H67" i="3" l="1"/>
  <c r="H65" i="3"/>
  <c r="H33" i="3"/>
  <c r="H70" i="3" s="1"/>
  <c r="G69" i="3"/>
  <c r="G68" i="3"/>
  <c r="H66" i="3"/>
  <c r="H69" i="3" l="1"/>
  <c r="H68" i="3"/>
</calcChain>
</file>

<file path=xl/sharedStrings.xml><?xml version="1.0" encoding="utf-8"?>
<sst xmlns="http://schemas.openxmlformats.org/spreadsheetml/2006/main" count="576" uniqueCount="410">
  <si>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</si>
  <si>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</si>
  <si>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</si>
  <si>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</si>
  <si>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</si>
  <si>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</si>
  <si>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</si>
  <si>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</si>
  <si>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</si>
  <si>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</si>
  <si>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</si>
  <si>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</si>
  <si>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</si>
  <si>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</si>
  <si>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</si>
  <si>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</si>
  <si>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</si>
  <si>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</si>
  <si>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</si>
  <si>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</si>
  <si>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BSY</t>
  </si>
  <si>
    <t>sector</t>
  </si>
  <si>
    <t>Zbegin</t>
  </si>
  <si>
    <t>Zend</t>
  </si>
  <si>
    <t>Lsector=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</si>
  <si>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Z m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</si>
  <si>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Z ft</t>
    </r>
  </si>
  <si>
    <t>HXR</t>
  </si>
  <si>
    <t>linac
coordinates</t>
  </si>
  <si>
    <t>BSY
coordinates</t>
  </si>
  <si>
    <t>BPN27</t>
  </si>
  <si>
    <t>BPN12</t>
  </si>
  <si>
    <t>BPN13</t>
  </si>
  <si>
    <t>BPN14</t>
  </si>
  <si>
    <t>BPN15</t>
  </si>
  <si>
    <t>BPN16</t>
  </si>
  <si>
    <t>BPN17</t>
  </si>
  <si>
    <t>BPN18</t>
  </si>
  <si>
    <t>BPN19</t>
  </si>
  <si>
    <t>BPN20</t>
  </si>
  <si>
    <t>BPN21</t>
  </si>
  <si>
    <t>BPN22</t>
  </si>
  <si>
    <t>BPN23</t>
  </si>
  <si>
    <t>BPN24</t>
  </si>
  <si>
    <t>BPN25</t>
  </si>
  <si>
    <t>BPN26</t>
  </si>
  <si>
    <t>SPS</t>
  </si>
  <si>
    <t>GUNB/L0B</t>
  </si>
  <si>
    <t>L1B/BC1B/COL1/L2B</t>
  </si>
  <si>
    <t>L2B</t>
  </si>
  <si>
    <t>L2B/BC2B/EMIT2/L3B</t>
  </si>
  <si>
    <t>L3B</t>
  </si>
  <si>
    <t>areas</t>
  </si>
  <si>
    <t>DOG</t>
  </si>
  <si>
    <t>BYP/SPD1</t>
  </si>
  <si>
    <t>SPD1/SPS</t>
  </si>
  <si>
    <t>SLTS/BSYS</t>
  </si>
  <si>
    <t>LTUS</t>
  </si>
  <si>
    <t>SXR</t>
  </si>
  <si>
    <t>UES/DMPS</t>
  </si>
  <si>
    <t>DMPS</t>
  </si>
  <si>
    <t>L2</t>
  </si>
  <si>
    <t>L3</t>
  </si>
  <si>
    <t>LTUH</t>
  </si>
  <si>
    <t>DMPH</t>
  </si>
  <si>
    <t>L2/BC2</t>
  </si>
  <si>
    <t>L3/CLTH0</t>
  </si>
  <si>
    <t>UEH/DMPH</t>
  </si>
  <si>
    <t>71H</t>
  </si>
  <si>
    <t>72H</t>
  </si>
  <si>
    <t>73H</t>
  </si>
  <si>
    <t>74H</t>
  </si>
  <si>
    <t>75H</t>
  </si>
  <si>
    <t>76H</t>
  </si>
  <si>
    <t>77H</t>
  </si>
  <si>
    <t>78H</t>
  </si>
  <si>
    <t>79H</t>
  </si>
  <si>
    <t>80H</t>
  </si>
  <si>
    <t>81H</t>
  </si>
  <si>
    <t>82H</t>
  </si>
  <si>
    <t>90H</t>
  </si>
  <si>
    <t>92H</t>
  </si>
  <si>
    <t>71S</t>
  </si>
  <si>
    <t>72S</t>
  </si>
  <si>
    <t>73S</t>
  </si>
  <si>
    <t>74S</t>
  </si>
  <si>
    <t>75S</t>
  </si>
  <si>
    <t>76S</t>
  </si>
  <si>
    <t>77S</t>
  </si>
  <si>
    <t>78S</t>
  </si>
  <si>
    <t>79S</t>
  </si>
  <si>
    <t>80S</t>
  </si>
  <si>
    <t>81S</t>
  </si>
  <si>
    <t>82S</t>
  </si>
  <si>
    <t>90S</t>
  </si>
  <si>
    <t>92S</t>
  </si>
  <si>
    <t>U01S</t>
  </si>
  <si>
    <t>U02S</t>
  </si>
  <si>
    <t>U03S</t>
  </si>
  <si>
    <t>U04S</t>
  </si>
  <si>
    <t>U01H</t>
  </si>
  <si>
    <t>U02H</t>
  </si>
  <si>
    <t>U03H</t>
  </si>
  <si>
    <t>U04H</t>
  </si>
  <si>
    <t>91H</t>
  </si>
  <si>
    <t>SFTH</t>
  </si>
  <si>
    <t>HXTES</t>
  </si>
  <si>
    <t>XTESH</t>
  </si>
  <si>
    <t>froot</t>
  </si>
  <si>
    <t>BSY?</t>
  </si>
  <si>
    <t>91S</t>
  </si>
  <si>
    <t>SFTS</t>
  </si>
  <si>
    <t>XTESS</t>
  </si>
  <si>
    <t>L0B/HTR/DIAG0/COL0/L1B</t>
  </si>
  <si>
    <t>BPN13BEG</t>
  </si>
  <si>
    <t>BPN14BEG</t>
  </si>
  <si>
    <t>BPN15BEG</t>
  </si>
  <si>
    <t>BPN16BEG</t>
  </si>
  <si>
    <t>BPN17BEG</t>
  </si>
  <si>
    <t>BPN18BEG</t>
  </si>
  <si>
    <t>BPN19BEG</t>
  </si>
  <si>
    <t>BPN20BEG</t>
  </si>
  <si>
    <t>BPN21BEG</t>
  </si>
  <si>
    <t>BPN22BEG</t>
  </si>
  <si>
    <t>BPN23BEG</t>
  </si>
  <si>
    <t>BPN24BEG</t>
  </si>
  <si>
    <t>BPN25BEG</t>
  </si>
  <si>
    <t>BPN26BEG</t>
  </si>
  <si>
    <t>BPN27BEG</t>
  </si>
  <si>
    <t>BPN12END</t>
  </si>
  <si>
    <t>BPN13END</t>
  </si>
  <si>
    <t>BPN14END</t>
  </si>
  <si>
    <t>BPN15END</t>
  </si>
  <si>
    <t>BPN16END</t>
  </si>
  <si>
    <t>BPN17END</t>
  </si>
  <si>
    <t>BPN18END</t>
  </si>
  <si>
    <t>BPN19END</t>
  </si>
  <si>
    <t>BPN20END</t>
  </si>
  <si>
    <t>BPN21END</t>
  </si>
  <si>
    <t>BPN22END</t>
  </si>
  <si>
    <t>BPN23END</t>
  </si>
  <si>
    <t>BPN24END</t>
  </si>
  <si>
    <t>BPN25END</t>
  </si>
  <si>
    <t>BPN26END</t>
  </si>
  <si>
    <t>BPN27END</t>
  </si>
  <si>
    <t>Nbegin</t>
  </si>
  <si>
    <t>Nend</t>
  </si>
  <si>
    <t>BEGGUNB</t>
  </si>
  <si>
    <t>LI22BEG</t>
  </si>
  <si>
    <t>LI22END</t>
  </si>
  <si>
    <t>LI23BEG</t>
  </si>
  <si>
    <t>LI24BEG</t>
  </si>
  <si>
    <t>LI26BEG</t>
  </si>
  <si>
    <t>LI27BEG</t>
  </si>
  <si>
    <t>LI28BEG</t>
  </si>
  <si>
    <t>LI29BEG</t>
  </si>
  <si>
    <t>LI23END</t>
  </si>
  <si>
    <t>LI25END</t>
  </si>
  <si>
    <t>LI26END</t>
  </si>
  <si>
    <t>LI27END</t>
  </si>
  <si>
    <t>LI28END</t>
  </si>
  <si>
    <t>LI29END</t>
  </si>
  <si>
    <t>SXR cell 26</t>
  </si>
  <si>
    <t>SXR cell 27</t>
  </si>
  <si>
    <t>SXR cell 28</t>
  </si>
  <si>
    <t>SXR cell 29</t>
  </si>
  <si>
    <t>SXR cell 30</t>
  </si>
  <si>
    <t>SXR cell 31</t>
  </si>
  <si>
    <t>SXR cell 32</t>
  </si>
  <si>
    <t>SXR cell 33</t>
  </si>
  <si>
    <t>SXR cell 34</t>
  </si>
  <si>
    <t>SXR cell 35</t>
  </si>
  <si>
    <t>SXR cell 36</t>
  </si>
  <si>
    <t>SXR cell 37</t>
  </si>
  <si>
    <t>SXR cell 38</t>
  </si>
  <si>
    <t>SXR cell 39</t>
  </si>
  <si>
    <t>SXR cell 40</t>
  </si>
  <si>
    <t>SXR cell 41</t>
  </si>
  <si>
    <t>SXR cell 42</t>
  </si>
  <si>
    <t>SXR cell 43</t>
  </si>
  <si>
    <t>SXR cell 44</t>
  </si>
  <si>
    <t>SXR cell 45</t>
  </si>
  <si>
    <t>SXR cell 46</t>
  </si>
  <si>
    <t>SXR cell 47</t>
  </si>
  <si>
    <t>SXR cell 48</t>
  </si>
  <si>
    <t>SXR cell 49</t>
  </si>
  <si>
    <t>SXR cell 50</t>
  </si>
  <si>
    <t>undulator</t>
  </si>
  <si>
    <t>future</t>
  </si>
  <si>
    <t>HXR cell 16</t>
  </si>
  <si>
    <t>HXR cell 17</t>
  </si>
  <si>
    <t>HXR cell 18</t>
  </si>
  <si>
    <t>HXR cell 19</t>
  </si>
  <si>
    <t>HXR cell 20</t>
  </si>
  <si>
    <t>HXR cell 21</t>
  </si>
  <si>
    <t>HXR cell 22</t>
  </si>
  <si>
    <t>HXR cell 23</t>
  </si>
  <si>
    <t>HXR cell 24</t>
  </si>
  <si>
    <t>HXR cell 25</t>
  </si>
  <si>
    <t>HXR cell 26</t>
  </si>
  <si>
    <t>HXR cell 27</t>
  </si>
  <si>
    <t>HXR cell 28</t>
  </si>
  <si>
    <t>HXR cell 29</t>
  </si>
  <si>
    <t>HXR cell 30</t>
  </si>
  <si>
    <t>HXR cell 31</t>
  </si>
  <si>
    <t>HXR cell 32</t>
  </si>
  <si>
    <t>HXR cell 33</t>
  </si>
  <si>
    <t>HXR cell 34</t>
  </si>
  <si>
    <t>HXR cell 35</t>
  </si>
  <si>
    <t>HXR cell 36</t>
  </si>
  <si>
    <t>HXR cell 37</t>
  </si>
  <si>
    <t>HXR cell 38</t>
  </si>
  <si>
    <t>HXR cell 39</t>
  </si>
  <si>
    <t>HXR cell 40</t>
  </si>
  <si>
    <t>HXR cell 41</t>
  </si>
  <si>
    <t>HXR cell 42</t>
  </si>
  <si>
    <t>HXR cell 43</t>
  </si>
  <si>
    <t>HXR cell 44</t>
  </si>
  <si>
    <t>HXR cell 45</t>
  </si>
  <si>
    <t>HXR cell 46</t>
  </si>
  <si>
    <t>HXR cell 47</t>
  </si>
  <si>
    <t>HXR cell 48</t>
  </si>
  <si>
    <t>HXR cell 49</t>
  </si>
  <si>
    <t>HXR cell 50</t>
  </si>
  <si>
    <t>HXR cell 13</t>
  </si>
  <si>
    <t>HXR cell 14</t>
  </si>
  <si>
    <t>HXR cell 15</t>
  </si>
  <si>
    <t>Undulator Cell</t>
  </si>
  <si>
    <t>HXR 13</t>
  </si>
  <si>
    <t>HXR 14</t>
  </si>
  <si>
    <t>HXR 15</t>
  </si>
  <si>
    <t>HXR 16</t>
  </si>
  <si>
    <t>HXR 17</t>
  </si>
  <si>
    <t>HXR 18</t>
  </si>
  <si>
    <t>HXR 19</t>
  </si>
  <si>
    <t>HXR 20</t>
  </si>
  <si>
    <t>HXR 21</t>
  </si>
  <si>
    <t>HXR 22</t>
  </si>
  <si>
    <t>HXR 23</t>
  </si>
  <si>
    <t>HXR 24</t>
  </si>
  <si>
    <t>HXR 25</t>
  </si>
  <si>
    <t>HXR 26</t>
  </si>
  <si>
    <t>HXR 27</t>
  </si>
  <si>
    <t>HXR 28</t>
  </si>
  <si>
    <t>HXR 29</t>
  </si>
  <si>
    <t>HXR 30</t>
  </si>
  <si>
    <t>HXR 31</t>
  </si>
  <si>
    <t>HXR 32</t>
  </si>
  <si>
    <t>HXR 33</t>
  </si>
  <si>
    <t>HXR 34</t>
  </si>
  <si>
    <t>HXR 35</t>
  </si>
  <si>
    <t>HXR 36</t>
  </si>
  <si>
    <t>HXR 37</t>
  </si>
  <si>
    <t>HXR 38</t>
  </si>
  <si>
    <t>HXR 39</t>
  </si>
  <si>
    <t>HXR 40</t>
  </si>
  <si>
    <t>HXR 41</t>
  </si>
  <si>
    <t>HXR 42</t>
  </si>
  <si>
    <t>HXR 43</t>
  </si>
  <si>
    <t>HXR 44</t>
  </si>
  <si>
    <t>HXR 45</t>
  </si>
  <si>
    <t>HXR 46</t>
  </si>
  <si>
    <t>HXR 47</t>
  </si>
  <si>
    <t>HXR 48</t>
  </si>
  <si>
    <t>HXR 49</t>
  </si>
  <si>
    <t>HXR 50</t>
  </si>
  <si>
    <t>SXR 16</t>
  </si>
  <si>
    <t>SXR 17</t>
  </si>
  <si>
    <t>SXR 18</t>
  </si>
  <si>
    <t>SXR 19</t>
  </si>
  <si>
    <t>SXR 20</t>
  </si>
  <si>
    <t>SXR 21</t>
  </si>
  <si>
    <t>SXR 23</t>
  </si>
  <si>
    <t>SXR 24</t>
  </si>
  <si>
    <t>SXR 25</t>
  </si>
  <si>
    <t>SXR 26</t>
  </si>
  <si>
    <t>SXR 27</t>
  </si>
  <si>
    <t>SXR 28</t>
  </si>
  <si>
    <t>SXR 29</t>
  </si>
  <si>
    <t>SXR 22</t>
  </si>
  <si>
    <t>SXR 30</t>
  </si>
  <si>
    <t>SXR 31</t>
  </si>
  <si>
    <t>SXR 32</t>
  </si>
  <si>
    <t>SXR 34</t>
  </si>
  <si>
    <t>SXR 35</t>
  </si>
  <si>
    <t>SXR 36</t>
  </si>
  <si>
    <t>SXR 37</t>
  </si>
  <si>
    <t>SXR 38</t>
  </si>
  <si>
    <t>SXR 39</t>
  </si>
  <si>
    <t>SXR 33</t>
  </si>
  <si>
    <t>SXR 40</t>
  </si>
  <si>
    <t>SXR 41</t>
  </si>
  <si>
    <t>SXR 42</t>
  </si>
  <si>
    <t>SXR 43</t>
  </si>
  <si>
    <t>SXR 45</t>
  </si>
  <si>
    <t>SXR 46</t>
  </si>
  <si>
    <t>SXR 47</t>
  </si>
  <si>
    <t>SXR 48</t>
  </si>
  <si>
    <t>SXR 49</t>
  </si>
  <si>
    <t>SXR 44</t>
  </si>
  <si>
    <t>SXR 50</t>
  </si>
  <si>
    <t>ENDSPS</t>
  </si>
  <si>
    <t>BEGSLTS</t>
  </si>
  <si>
    <t>ENDBSYS</t>
  </si>
  <si>
    <t>BEGLTUS</t>
  </si>
  <si>
    <t>BEGLTUH</t>
  </si>
  <si>
    <t>ALINE</t>
  </si>
  <si>
    <t>LI21END</t>
  </si>
  <si>
    <t>L1/BC1/L2</t>
  </si>
  <si>
    <t>LI30BEG</t>
  </si>
  <si>
    <t>ENDLTUH</t>
  </si>
  <si>
    <t>ENDLTUS</t>
  </si>
  <si>
    <t>Notes</t>
  </si>
  <si>
    <t>BEGL1</t>
  </si>
  <si>
    <t>ENDBC2</t>
  </si>
  <si>
    <t>Sector boundaries from "Beamline Boundaries" PRD (LCLSII-2.1-PR-0134-R5)</t>
  </si>
  <si>
    <t>BEGGUN</t>
  </si>
  <si>
    <t>BEGUNDS</t>
  </si>
  <si>
    <t>ENDUNDS</t>
  </si>
  <si>
    <t>BEGDMPS_1</t>
  </si>
  <si>
    <t>ENDDMPS_1</t>
  </si>
  <si>
    <t>BEGDMPS_2</t>
  </si>
  <si>
    <t>ENDDMPS_2</t>
  </si>
  <si>
    <t>BEGSFTS_1</t>
  </si>
  <si>
    <t>ENDSFTS_2</t>
  </si>
  <si>
    <t>ENDDL1_2</t>
  </si>
  <si>
    <t>ENDCLTH_0</t>
  </si>
  <si>
    <t>BEGCLTH_1</t>
  </si>
  <si>
    <t>ENDUNDH</t>
  </si>
  <si>
    <t>BEGUNDH</t>
  </si>
  <si>
    <t>BEGDMPH_1</t>
  </si>
  <si>
    <t>ENDDMPH_1</t>
  </si>
  <si>
    <t>BEGDMPH_2</t>
  </si>
  <si>
    <t>ENDDMPH_2</t>
  </si>
  <si>
    <t>BEGSFTH_1</t>
  </si>
  <si>
    <t>ENDSFTH_2</t>
  </si>
  <si>
    <t>BEGL3</t>
  </si>
  <si>
    <t>BEGHXTES_1</t>
  </si>
  <si>
    <t>ENDHXTES_2</t>
  </si>
  <si>
    <t>HTXI</t>
  </si>
  <si>
    <t>BEGHXTES_3</t>
  </si>
  <si>
    <t>ENDHXTES_3</t>
  </si>
  <si>
    <t>S2_X</t>
  </si>
  <si>
    <t>BEGSXTES_1</t>
  </si>
  <si>
    <t>ENDSXTES_2</t>
  </si>
  <si>
    <t>BEGSXTES_3</t>
  </si>
  <si>
    <t>BEGSXTES_4</t>
  </si>
  <si>
    <t>ENDSXTES_4</t>
  </si>
  <si>
    <t>STXI</t>
  </si>
  <si>
    <t>STMO</t>
  </si>
  <si>
    <t>ENDSXTES_3</t>
  </si>
  <si>
    <t>CBXFEL chicane #2</t>
  </si>
  <si>
    <t>HXRSS chicane</t>
  </si>
  <si>
    <t>SXRSS chicane</t>
  </si>
  <si>
    <t>ENDESA</t>
  </si>
  <si>
    <t>ESA</t>
  </si>
  <si>
    <t>ENDBSYA</t>
  </si>
  <si>
    <t>CLTH/BSYH</t>
  </si>
  <si>
    <t>ENDBSYH</t>
  </si>
  <si>
    <t>partial cell</t>
  </si>
  <si>
    <t>comment</t>
  </si>
  <si>
    <t>CBXFEL chicane #1</t>
  </si>
  <si>
    <t>contains</t>
  </si>
  <si>
    <t>Delta-II</t>
  </si>
  <si>
    <t>overlay</t>
  </si>
  <si>
    <t>SPH</t>
  </si>
  <si>
    <t>SPA</t>
  </si>
  <si>
    <t>SLTD</t>
  </si>
  <si>
    <t>SLTA</t>
  </si>
  <si>
    <t>BYP/SPH</t>
  </si>
  <si>
    <t>SPD1/SPD2/SPD3</t>
  </si>
  <si>
    <t>SPD3</t>
  </si>
  <si>
    <t>SPD1/SPD2/SPA</t>
  </si>
  <si>
    <t>ENDSLTA</t>
  </si>
  <si>
    <t>SLTH/BSYH</t>
  </si>
  <si>
    <t>BEGBSYA</t>
  </si>
  <si>
    <t>BEGCLTS</t>
  </si>
  <si>
    <t>ENDCLTS</t>
  </si>
  <si>
    <t>CLTS</t>
  </si>
  <si>
    <t>BSY coordinates</t>
  </si>
  <si>
    <t>ENDGSPEC</t>
  </si>
  <si>
    <t>GUN/L0/HTR/EMIT/BX0</t>
  </si>
  <si>
    <t>SPEC</t>
  </si>
  <si>
    <t>GSPEC</t>
  </si>
  <si>
    <t>BEGGSPEC</t>
  </si>
  <si>
    <t>BEGSPEC</t>
  </si>
  <si>
    <t>ENDSPEC</t>
  </si>
  <si>
    <t>GUNLEI/L0LEI/LEI1/LEI2</t>
  </si>
  <si>
    <t>BEGGUNLEI</t>
  </si>
  <si>
    <t>LEI2</t>
  </si>
  <si>
    <t>ENDLEI_2</t>
  </si>
  <si>
    <t>BEGDIAGIS</t>
  </si>
  <si>
    <t>DIAGIS</t>
  </si>
  <si>
    <t>ENDDIAGIS</t>
  </si>
  <si>
    <t>S09</t>
  </si>
  <si>
    <t>L4B</t>
  </si>
  <si>
    <t>S10</t>
  </si>
  <si>
    <t>L4B/EXT/DOG</t>
  </si>
  <si>
    <t>S11</t>
  </si>
  <si>
    <t>L3B/BR3B/L4B</t>
  </si>
  <si>
    <t>SXR cell 16</t>
  </si>
  <si>
    <t>SXR cell 17</t>
  </si>
  <si>
    <t>SXR cell 18</t>
  </si>
  <si>
    <t>SXR cell 19</t>
  </si>
  <si>
    <t>SXR cell 20</t>
  </si>
  <si>
    <t>SXR cell 21</t>
  </si>
  <si>
    <t>SXR cell 22</t>
  </si>
  <si>
    <t>SXR cell 23</t>
  </si>
  <si>
    <t>SXR cell 24</t>
  </si>
  <si>
    <t>SXR cell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</si>
</sst>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9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8.28515625" style="1" bestFit="1" customWidth="1"/>
    <col min="2" max="2" width="7.5703125" style="1" bestFit="1" customWidth="1"/>
    <col min="3" max="3" width="5.140625" style="1" bestFit="1" customWidth="1"/>
    <col min="4" max="4" width="24.140625" style="1" bestFit="1" customWidth="1"/>
    <col min="5" max="5" width="9" style="1" bestFit="1" customWidth="1"/>
    <col min="6" max="6" width="8.5703125" style="3" bestFit="1" customWidth="1"/>
    <col min="7" max="7" width="9.28515625" bestFit="1" customWidth="1"/>
    <col min="8" max="8" width="10.28515625" bestFit="1" customWidth="1"/>
    <col min="9" max="9" width="16.140625" style="1" bestFit="1" customWidth="1"/>
    <col min="10" max="10" width="16.85546875" style="1" bestFit="1" customWidth="1"/>
    <col min="11" max="11" width="11.42578125" customWidth="1"/>
    <col min="12" max="12" width="5.28515625" style="1" bestFit="1" customWidth="1"/>
    <col min="13" max="13" width="4.28515625" style="1" bestFit="1" customWidth="1"/>
    <col min="14" max="15" width="7.5703125" style="6" bestFit="1" customWidth="1"/>
    <col min="16" max="16" width="6.5703125" style="6" bestFit="1" customWidth="1"/>
    <col min="17" max="17" width="7.5703125" style="6" bestFit="1" customWidth="1"/>
    <col min="18" max="18" width="7.7109375" style="1" bestFit="1" customWidth="1"/>
    <col min="19" max="19" width="6.7109375" style="1" bestFit="1" customWidth="1"/>
  </cols>
  <sheetData>
    <row r="1" spans="1:12" x14ac:dyDescent="0.25">
      <c r="A1" s="1" t="s">
        <v>24</v>
      </c>
      <c r="B1" s="10">
        <v>101.6</v>
      </c>
      <c r="G1" s="3"/>
      <c r="H1" s="2"/>
    </row>
    <row r="2" spans="1:12" x14ac:dyDescent="0.25">
      <c r="E2" s="4"/>
      <c r="G2" s="3"/>
      <c r="H2" s="2"/>
    </row>
    <row r="3" spans="1:12" ht="15.75" thickBot="1" x14ac:dyDescent="0.3">
      <c r="A3" s="12" t="s">
        <v>21</v>
      </c>
      <c r="B3" s="12" t="s">
        <v>108</v>
      </c>
      <c r="C3" s="12" t="s">
        <v>109</v>
      </c>
      <c r="D3" s="12" t="s">
        <v>52</v>
      </c>
      <c r="E3" s="19" t="s">
        <v>22</v>
      </c>
      <c r="F3" s="13" t="s">
        <v>23</v>
      </c>
      <c r="G3" s="13" t="s">
        <v>25</v>
      </c>
      <c r="H3" s="14" t="s">
        <v>26</v>
      </c>
      <c r="I3" s="12" t="s">
        <v>145</v>
      </c>
      <c r="J3" s="12" t="s">
        <v>146</v>
      </c>
      <c r="K3" s="15"/>
    </row>
    <row r="4" spans="1:12" ht="15" customHeight="1" x14ac:dyDescent="0.25">
      <c r="A4" s="1" t="s">
        <v>0</v>
      </c>
      <c r="B4" s="1">
        <v>1</v>
      </c>
      <c r="C4" s="1">
        <v>0</v>
      </c>
      <c r="D4" s="1" t="s">
        <v>47</v>
      </c>
      <c r="E4" s="3">
        <v>-10.15</v>
      </c>
      <c r="F4" s="3">
        <v>0</v>
      </c>
      <c r="G4" s="3">
        <f t="shared" ref="G4" si="0">F4-E4</f>
        <v>10.15</v>
      </c>
      <c r="H4" s="2">
        <f t="shared" ref="H4" si="1">G4/0.3048</f>
        <v>33.300524934383205</v>
      </c>
      <c r="I4" s="1" t="s">
        <v>147</v>
      </c>
      <c r="K4" s="25" t="s">
        <v>28</v>
      </c>
      <c r="L4" s="1">
        <v>1</v>
      </c>
    </row>
    <row r="5" spans="1:12" x14ac:dyDescent="0.25">
      <c r="A5" s="1" t="s">
        <v>1</v>
      </c>
      <c r="B5" s="1">
        <v>1</v>
      </c>
      <c r="C5" s="1">
        <v>0</v>
      </c>
      <c r="D5" s="1" t="s">
        <v>113</v>
      </c>
      <c r="E5" s="3">
        <f t="shared" ref="E5:E34" si="2">F4</f>
        <v>0</v>
      </c>
      <c r="F5" s="3">
        <f>1*B1</f>
        <v>101.6</v>
      </c>
      <c r="G5" s="3">
        <f t="shared" ref="G5:G34" si="3">F5-E5</f>
        <v>101.6</v>
      </c>
      <c r="H5" s="2">
        <f t="shared" ref="H5:H34" si="4">G5/0.3048</f>
        <v>333.33333333333331</v>
      </c>
      <c r="K5" s="25"/>
      <c r="L5" s="1">
        <v>2</v>
      </c>
    </row>
    <row r="6" spans="1:12" x14ac:dyDescent="0.25">
      <c r="A6" s="1" t="s">
        <v>2</v>
      </c>
      <c r="B6" s="1">
        <v>1</v>
      </c>
      <c r="C6" s="1">
        <v>0</v>
      </c>
      <c r="D6" s="1" t="s">
        <v>48</v>
      </c>
      <c r="E6" s="3">
        <f t="shared" si="2"/>
        <v>101.6</v>
      </c>
      <c r="F6" s="3">
        <f>2*B1</f>
        <v>203.2</v>
      </c>
      <c r="G6" s="3">
        <f t="shared" si="3"/>
        <v>101.6</v>
      </c>
      <c r="H6" s="2">
        <f t="shared" si="4"/>
        <v>333.33333333333331</v>
      </c>
      <c r="K6" s="25"/>
      <c r="L6" s="1">
        <v>3</v>
      </c>
    </row>
    <row r="7" spans="1:12" x14ac:dyDescent="0.25">
      <c r="A7" s="1" t="s">
        <v>3</v>
      </c>
      <c r="B7" s="1">
        <v>1</v>
      </c>
      <c r="C7" s="1">
        <v>0</v>
      </c>
      <c r="D7" s="1" t="s">
        <v>49</v>
      </c>
      <c r="E7" s="3">
        <f t="shared" si="2"/>
        <v>203.2</v>
      </c>
      <c r="F7" s="3">
        <f>3*B1</f>
        <v>304.79999999999995</v>
      </c>
      <c r="G7" s="3">
        <f t="shared" si="3"/>
        <v>101.59999999999997</v>
      </c>
      <c r="H7" s="2">
        <f t="shared" si="4"/>
        <v>333.3333333333332</v>
      </c>
      <c r="K7" s="25"/>
      <c r="L7" s="1">
        <v>4</v>
      </c>
    </row>
    <row r="8" spans="1:12" x14ac:dyDescent="0.25">
      <c r="A8" s="1" t="s">
        <v>4</v>
      </c>
      <c r="B8" s="1">
        <v>1</v>
      </c>
      <c r="C8" s="1">
        <v>0</v>
      </c>
      <c r="D8" s="1" t="s">
        <v>50</v>
      </c>
      <c r="E8" s="3">
        <f t="shared" si="2"/>
        <v>304.79999999999995</v>
      </c>
      <c r="F8" s="3">
        <f>4*B1</f>
        <v>406.4</v>
      </c>
      <c r="G8" s="3">
        <f t="shared" si="3"/>
        <v>101.60000000000002</v>
      </c>
      <c r="H8" s="2">
        <f t="shared" si="4"/>
        <v>333.33333333333337</v>
      </c>
      <c r="K8" s="25"/>
      <c r="L8" s="1">
        <v>5</v>
      </c>
    </row>
    <row r="9" spans="1:12" x14ac:dyDescent="0.25">
      <c r="A9" s="1" t="s">
        <v>5</v>
      </c>
      <c r="B9" s="1">
        <v>1</v>
      </c>
      <c r="C9" s="1">
        <v>0</v>
      </c>
      <c r="D9" s="1" t="s">
        <v>51</v>
      </c>
      <c r="E9" s="3">
        <f t="shared" si="2"/>
        <v>406.4</v>
      </c>
      <c r="F9" s="3">
        <f>5*B1</f>
        <v>508</v>
      </c>
      <c r="G9" s="3">
        <f t="shared" si="3"/>
        <v>101.60000000000002</v>
      </c>
      <c r="H9" s="2">
        <f t="shared" si="4"/>
        <v>333.33333333333337</v>
      </c>
      <c r="K9" s="25"/>
      <c r="L9" s="1">
        <v>6</v>
      </c>
    </row>
    <row r="10" spans="1:12" x14ac:dyDescent="0.25">
      <c r="A10" s="1" t="s">
        <v>6</v>
      </c>
      <c r="B10" s="1">
        <v>1</v>
      </c>
      <c r="C10" s="1">
        <v>0</v>
      </c>
      <c r="D10" s="1" t="s">
        <v>51</v>
      </c>
      <c r="E10" s="3">
        <f t="shared" si="2"/>
        <v>508</v>
      </c>
      <c r="F10" s="3">
        <f>6*B1</f>
        <v>609.59999999999991</v>
      </c>
      <c r="G10" s="3">
        <f t="shared" si="3"/>
        <v>101.59999999999991</v>
      </c>
      <c r="H10" s="2">
        <f t="shared" si="4"/>
        <v>333.33333333333303</v>
      </c>
      <c r="K10" s="25"/>
      <c r="L10" s="1">
        <v>7</v>
      </c>
    </row>
    <row r="11" spans="1:12" x14ac:dyDescent="0.25">
      <c r="A11" s="1" t="s">
        <v>7</v>
      </c>
      <c r="B11" s="1">
        <v>1</v>
      </c>
      <c r="C11" s="1">
        <v>0</v>
      </c>
      <c r="D11" s="1" t="s">
        <v>399</v>
      </c>
      <c r="E11" s="3">
        <f t="shared" si="2"/>
        <v>609.59999999999991</v>
      </c>
      <c r="F11" s="3">
        <f>7*B1</f>
        <v>711.19999999999993</v>
      </c>
      <c r="G11" s="3">
        <f t="shared" si="3"/>
        <v>101.60000000000002</v>
      </c>
      <c r="H11" s="2">
        <f t="shared" si="4"/>
        <v>333.33333333333337</v>
      </c>
      <c r="K11" s="25"/>
      <c r="L11" s="1">
        <v>8</v>
      </c>
    </row>
    <row r="12" spans="1:12" x14ac:dyDescent="0.25">
      <c r="A12" s="1" t="s">
        <v>8</v>
      </c>
      <c r="B12" s="1">
        <v>1</v>
      </c>
      <c r="C12" s="1">
        <v>0</v>
      </c>
      <c r="D12" s="1" t="s">
        <v>395</v>
      </c>
      <c r="E12" s="3">
        <f t="shared" si="2"/>
        <v>711.19999999999993</v>
      </c>
      <c r="F12" s="3">
        <f>8*B1</f>
        <v>812.8</v>
      </c>
      <c r="G12" s="3">
        <f t="shared" si="3"/>
        <v>101.60000000000002</v>
      </c>
      <c r="H12" s="2">
        <f t="shared" si="4"/>
        <v>333.33333333333337</v>
      </c>
      <c r="K12" s="25"/>
      <c r="L12" s="1">
        <v>9</v>
      </c>
    </row>
    <row r="13" spans="1:12" x14ac:dyDescent="0.25">
      <c r="A13" s="9" t="s">
        <v>394</v>
      </c>
      <c r="B13" s="1">
        <v>1</v>
      </c>
      <c r="C13" s="1">
        <v>0</v>
      </c>
      <c r="D13" s="9" t="s">
        <v>395</v>
      </c>
      <c r="E13" s="3">
        <f t="shared" si="2"/>
        <v>812.8</v>
      </c>
      <c r="F13" s="3">
        <f>9*B1</f>
        <v>914.4</v>
      </c>
      <c r="G13" s="3">
        <f t="shared" si="3"/>
        <v>101.60000000000002</v>
      </c>
      <c r="H13" s="2">
        <f t="shared" si="4"/>
        <v>333.33333333333337</v>
      </c>
      <c r="I13" s="9"/>
      <c r="J13" s="9"/>
      <c r="K13" s="25"/>
      <c r="L13" s="1">
        <v>10</v>
      </c>
    </row>
    <row r="14" spans="1:12" x14ac:dyDescent="0.25">
      <c r="A14" s="9" t="s">
        <v>396</v>
      </c>
      <c r="B14" s="1">
        <v>1</v>
      </c>
      <c r="C14" s="1">
        <v>0</v>
      </c>
      <c r="D14" s="9" t="s">
        <v>397</v>
      </c>
      <c r="E14" s="3">
        <f t="shared" si="2"/>
        <v>914.4</v>
      </c>
      <c r="F14" s="3">
        <f>10*B1</f>
        <v>1016</v>
      </c>
      <c r="G14" s="3">
        <f t="shared" si="3"/>
        <v>101.60000000000002</v>
      </c>
      <c r="H14" s="2">
        <f t="shared" si="4"/>
        <v>333.33333333333337</v>
      </c>
      <c r="I14" s="9"/>
      <c r="J14" s="9"/>
      <c r="K14" s="25"/>
      <c r="L14" s="1">
        <v>11</v>
      </c>
    </row>
    <row r="15" spans="1:12" x14ac:dyDescent="0.25">
      <c r="A15" s="9" t="s">
        <v>398</v>
      </c>
      <c r="B15" s="1">
        <v>1</v>
      </c>
      <c r="C15" s="1">
        <v>0</v>
      </c>
      <c r="D15" s="9" t="s">
        <v>53</v>
      </c>
      <c r="E15" s="3">
        <f t="shared" si="2"/>
        <v>1016</v>
      </c>
      <c r="F15" s="3">
        <f>11*B1</f>
        <v>1117.5999999999999</v>
      </c>
      <c r="G15" s="3">
        <f t="shared" si="3"/>
        <v>101.59999999999991</v>
      </c>
      <c r="H15" s="2">
        <f t="shared" si="4"/>
        <v>333.33333333333303</v>
      </c>
      <c r="I15" s="9"/>
      <c r="J15" s="9"/>
      <c r="K15" s="25"/>
      <c r="L15" s="1">
        <v>12</v>
      </c>
    </row>
    <row r="16" spans="1:12" x14ac:dyDescent="0.25">
      <c r="A16" s="9" t="s">
        <v>31</v>
      </c>
      <c r="B16" s="1">
        <v>1</v>
      </c>
      <c r="C16" s="1">
        <v>0</v>
      </c>
      <c r="D16" s="9" t="s">
        <v>31</v>
      </c>
      <c r="E16" s="3">
        <f t="shared" si="2"/>
        <v>1117.5999999999999</v>
      </c>
      <c r="F16" s="3">
        <f>12*B1</f>
        <v>1219.1999999999998</v>
      </c>
      <c r="G16" s="3">
        <f t="shared" si="3"/>
        <v>101.59999999999991</v>
      </c>
      <c r="H16" s="2">
        <f t="shared" si="4"/>
        <v>333.33333333333303</v>
      </c>
      <c r="I16" s="9"/>
      <c r="J16" s="9" t="s">
        <v>129</v>
      </c>
      <c r="K16" s="25"/>
      <c r="L16" s="1">
        <v>13</v>
      </c>
    </row>
    <row r="17" spans="1:12" x14ac:dyDescent="0.25">
      <c r="A17" s="9" t="s">
        <v>32</v>
      </c>
      <c r="B17" s="1">
        <v>1</v>
      </c>
      <c r="C17" s="1">
        <v>0</v>
      </c>
      <c r="D17" s="9" t="s">
        <v>32</v>
      </c>
      <c r="E17" s="3">
        <f t="shared" si="2"/>
        <v>1219.1999999999998</v>
      </c>
      <c r="F17" s="3">
        <f>13*B1</f>
        <v>1320.8</v>
      </c>
      <c r="G17" s="3">
        <f t="shared" si="3"/>
        <v>101.60000000000014</v>
      </c>
      <c r="H17" s="2">
        <f t="shared" si="4"/>
        <v>333.33333333333377</v>
      </c>
      <c r="I17" s="9" t="s">
        <v>114</v>
      </c>
      <c r="J17" s="9" t="s">
        <v>130</v>
      </c>
      <c r="K17" s="25"/>
      <c r="L17" s="1">
        <v>14</v>
      </c>
    </row>
    <row r="18" spans="1:12" x14ac:dyDescent="0.25">
      <c r="A18" s="9" t="s">
        <v>33</v>
      </c>
      <c r="B18" s="1">
        <v>1</v>
      </c>
      <c r="C18" s="1">
        <v>0</v>
      </c>
      <c r="D18" s="9" t="s">
        <v>33</v>
      </c>
      <c r="E18" s="3">
        <f t="shared" si="2"/>
        <v>1320.8</v>
      </c>
      <c r="F18" s="3">
        <f>14*B1</f>
        <v>1422.3999999999999</v>
      </c>
      <c r="G18" s="3">
        <f t="shared" si="3"/>
        <v>101.59999999999991</v>
      </c>
      <c r="H18" s="2">
        <f t="shared" si="4"/>
        <v>333.33333333333303</v>
      </c>
      <c r="I18" s="9" t="s">
        <v>115</v>
      </c>
      <c r="J18" s="9" t="s">
        <v>131</v>
      </c>
      <c r="K18" s="25"/>
      <c r="L18" s="1">
        <v>15</v>
      </c>
    </row>
    <row r="19" spans="1:12" x14ac:dyDescent="0.25">
      <c r="A19" s="9" t="s">
        <v>34</v>
      </c>
      <c r="B19" s="1">
        <v>1</v>
      </c>
      <c r="C19" s="1">
        <v>0</v>
      </c>
      <c r="D19" s="9" t="s">
        <v>34</v>
      </c>
      <c r="E19" s="3">
        <f t="shared" si="2"/>
        <v>1422.3999999999999</v>
      </c>
      <c r="F19" s="3">
        <f>15*B1</f>
        <v>1524</v>
      </c>
      <c r="G19" s="3">
        <f t="shared" si="3"/>
        <v>101.60000000000014</v>
      </c>
      <c r="H19" s="2">
        <f t="shared" si="4"/>
        <v>333.33333333333377</v>
      </c>
      <c r="I19" s="9" t="s">
        <v>116</v>
      </c>
      <c r="J19" s="9" t="s">
        <v>132</v>
      </c>
      <c r="K19" s="25"/>
      <c r="L19" s="1">
        <v>16</v>
      </c>
    </row>
    <row r="20" spans="1:12" x14ac:dyDescent="0.25">
      <c r="A20" s="9" t="s">
        <v>35</v>
      </c>
      <c r="B20" s="1">
        <v>1</v>
      </c>
      <c r="C20" s="1">
        <v>0</v>
      </c>
      <c r="D20" s="9" t="s">
        <v>35</v>
      </c>
      <c r="E20" s="3">
        <f t="shared" si="2"/>
        <v>1524</v>
      </c>
      <c r="F20" s="3">
        <f>16*B1</f>
        <v>1625.6</v>
      </c>
      <c r="G20" s="3">
        <f t="shared" si="3"/>
        <v>101.59999999999991</v>
      </c>
      <c r="H20" s="2">
        <f t="shared" si="4"/>
        <v>333.33333333333303</v>
      </c>
      <c r="I20" s="9" t="s">
        <v>117</v>
      </c>
      <c r="J20" s="9" t="s">
        <v>133</v>
      </c>
      <c r="K20" s="25"/>
      <c r="L20" s="1">
        <v>17</v>
      </c>
    </row>
    <row r="21" spans="1:12" x14ac:dyDescent="0.25">
      <c r="A21" s="9" t="s">
        <v>36</v>
      </c>
      <c r="B21" s="1">
        <v>1</v>
      </c>
      <c r="C21" s="1">
        <v>0</v>
      </c>
      <c r="D21" s="9" t="s">
        <v>36</v>
      </c>
      <c r="E21" s="3">
        <f t="shared" si="2"/>
        <v>1625.6</v>
      </c>
      <c r="F21" s="3">
        <f>17*B1</f>
        <v>1727.1999999999998</v>
      </c>
      <c r="G21" s="3">
        <f t="shared" si="3"/>
        <v>101.59999999999991</v>
      </c>
      <c r="H21" s="2">
        <f t="shared" si="4"/>
        <v>333.33333333333303</v>
      </c>
      <c r="I21" s="9" t="s">
        <v>118</v>
      </c>
      <c r="J21" s="9" t="s">
        <v>134</v>
      </c>
      <c r="K21" s="25"/>
      <c r="L21" s="1">
        <v>18</v>
      </c>
    </row>
    <row r="22" spans="1:12" x14ac:dyDescent="0.25">
      <c r="A22" s="9" t="s">
        <v>37</v>
      </c>
      <c r="B22" s="1">
        <v>1</v>
      </c>
      <c r="C22" s="1">
        <v>0</v>
      </c>
      <c r="D22" s="9" t="s">
        <v>37</v>
      </c>
      <c r="E22" s="3">
        <f t="shared" si="2"/>
        <v>1727.1999999999998</v>
      </c>
      <c r="F22" s="3">
        <f>18*B1</f>
        <v>1828.8</v>
      </c>
      <c r="G22" s="3">
        <f t="shared" si="3"/>
        <v>101.60000000000014</v>
      </c>
      <c r="H22" s="2">
        <f t="shared" si="4"/>
        <v>333.33333333333377</v>
      </c>
      <c r="I22" s="9" t="s">
        <v>119</v>
      </c>
      <c r="J22" s="9" t="s">
        <v>135</v>
      </c>
      <c r="K22" s="25"/>
      <c r="L22" s="1">
        <v>19</v>
      </c>
    </row>
    <row r="23" spans="1:12" x14ac:dyDescent="0.25">
      <c r="A23" s="9" t="s">
        <v>38</v>
      </c>
      <c r="B23" s="1">
        <v>1</v>
      </c>
      <c r="C23" s="1">
        <v>0</v>
      </c>
      <c r="D23" s="9" t="s">
        <v>38</v>
      </c>
      <c r="E23" s="3">
        <f t="shared" si="2"/>
        <v>1828.8</v>
      </c>
      <c r="F23" s="3">
        <f>19*B1</f>
        <v>1930.3999999999999</v>
      </c>
      <c r="G23" s="3">
        <f t="shared" si="3"/>
        <v>101.59999999999991</v>
      </c>
      <c r="H23" s="2">
        <f t="shared" si="4"/>
        <v>333.33333333333303</v>
      </c>
      <c r="I23" s="9" t="s">
        <v>120</v>
      </c>
      <c r="J23" s="9" t="s">
        <v>136</v>
      </c>
      <c r="K23" s="25"/>
      <c r="L23" s="1">
        <v>20</v>
      </c>
    </row>
    <row r="24" spans="1:12" x14ac:dyDescent="0.25">
      <c r="A24" s="9" t="s">
        <v>39</v>
      </c>
      <c r="B24" s="1">
        <v>1</v>
      </c>
      <c r="C24" s="1">
        <v>0</v>
      </c>
      <c r="D24" s="9" t="s">
        <v>39</v>
      </c>
      <c r="E24" s="3">
        <f t="shared" si="2"/>
        <v>1930.3999999999999</v>
      </c>
      <c r="F24" s="3">
        <f>20*B1</f>
        <v>2032</v>
      </c>
      <c r="G24" s="3">
        <f t="shared" si="3"/>
        <v>101.60000000000014</v>
      </c>
      <c r="H24" s="2">
        <f t="shared" si="4"/>
        <v>333.33333333333377</v>
      </c>
      <c r="I24" s="9" t="s">
        <v>121</v>
      </c>
      <c r="J24" s="9" t="s">
        <v>137</v>
      </c>
      <c r="K24" s="25"/>
      <c r="L24" s="1">
        <v>21</v>
      </c>
    </row>
    <row r="25" spans="1:12" x14ac:dyDescent="0.25">
      <c r="A25" s="9" t="s">
        <v>40</v>
      </c>
      <c r="B25" s="1">
        <v>1</v>
      </c>
      <c r="C25" s="1">
        <v>0</v>
      </c>
      <c r="D25" s="9" t="s">
        <v>40</v>
      </c>
      <c r="E25" s="3">
        <f t="shared" si="2"/>
        <v>2032</v>
      </c>
      <c r="F25" s="3">
        <f>21*B1</f>
        <v>2133.6</v>
      </c>
      <c r="G25" s="3">
        <f t="shared" si="3"/>
        <v>101.59999999999991</v>
      </c>
      <c r="H25" s="2">
        <f t="shared" si="4"/>
        <v>333.33333333333303</v>
      </c>
      <c r="I25" s="9" t="s">
        <v>122</v>
      </c>
      <c r="J25" s="9" t="s">
        <v>138</v>
      </c>
      <c r="K25" s="25"/>
      <c r="L25" s="1">
        <v>22</v>
      </c>
    </row>
    <row r="26" spans="1:12" x14ac:dyDescent="0.25">
      <c r="A26" s="9" t="s">
        <v>41</v>
      </c>
      <c r="B26" s="1">
        <v>1</v>
      </c>
      <c r="C26" s="1">
        <v>0</v>
      </c>
      <c r="D26" s="9" t="s">
        <v>41</v>
      </c>
      <c r="E26" s="3">
        <f t="shared" si="2"/>
        <v>2133.6</v>
      </c>
      <c r="F26" s="3">
        <f>22*B1</f>
        <v>2235.1999999999998</v>
      </c>
      <c r="G26" s="3">
        <f t="shared" si="3"/>
        <v>101.59999999999991</v>
      </c>
      <c r="H26" s="2">
        <f t="shared" si="4"/>
        <v>333.33333333333303</v>
      </c>
      <c r="I26" s="9" t="s">
        <v>123</v>
      </c>
      <c r="J26" s="9" t="s">
        <v>139</v>
      </c>
      <c r="K26" s="25"/>
      <c r="L26" s="1">
        <v>23</v>
      </c>
    </row>
    <row r="27" spans="1:12" x14ac:dyDescent="0.25">
      <c r="A27" s="9" t="s">
        <v>42</v>
      </c>
      <c r="B27" s="1">
        <v>1</v>
      </c>
      <c r="C27" s="1">
        <v>0</v>
      </c>
      <c r="D27" s="9" t="s">
        <v>42</v>
      </c>
      <c r="E27" s="3">
        <f t="shared" si="2"/>
        <v>2235.1999999999998</v>
      </c>
      <c r="F27" s="3">
        <f>23*B1</f>
        <v>2336.7999999999997</v>
      </c>
      <c r="G27" s="3">
        <f t="shared" si="3"/>
        <v>101.59999999999991</v>
      </c>
      <c r="H27" s="2">
        <f t="shared" si="4"/>
        <v>333.33333333333303</v>
      </c>
      <c r="I27" s="9" t="s">
        <v>124</v>
      </c>
      <c r="J27" s="9" t="s">
        <v>140</v>
      </c>
      <c r="K27" s="25"/>
      <c r="L27" s="1">
        <v>24</v>
      </c>
    </row>
    <row r="28" spans="1:12" x14ac:dyDescent="0.25">
      <c r="A28" s="9" t="s">
        <v>43</v>
      </c>
      <c r="B28" s="1">
        <v>1</v>
      </c>
      <c r="C28" s="1">
        <v>0</v>
      </c>
      <c r="D28" s="9" t="s">
        <v>43</v>
      </c>
      <c r="E28" s="3">
        <f t="shared" si="2"/>
        <v>2336.7999999999997</v>
      </c>
      <c r="F28" s="3">
        <f>24*B1</f>
        <v>2438.3999999999996</v>
      </c>
      <c r="G28" s="3">
        <f t="shared" si="3"/>
        <v>101.59999999999991</v>
      </c>
      <c r="H28" s="2">
        <f t="shared" si="4"/>
        <v>333.33333333333303</v>
      </c>
      <c r="I28" s="9" t="s">
        <v>125</v>
      </c>
      <c r="J28" s="9" t="s">
        <v>141</v>
      </c>
      <c r="K28" s="25"/>
      <c r="L28" s="1">
        <v>25</v>
      </c>
    </row>
    <row r="29" spans="1:12" x14ac:dyDescent="0.25">
      <c r="A29" s="9" t="s">
        <v>44</v>
      </c>
      <c r="B29" s="1">
        <v>1</v>
      </c>
      <c r="C29" s="1">
        <v>0</v>
      </c>
      <c r="D29" s="9" t="s">
        <v>44</v>
      </c>
      <c r="E29" s="3">
        <f t="shared" si="2"/>
        <v>2438.3999999999996</v>
      </c>
      <c r="F29" s="3">
        <f>25*B1</f>
        <v>2540</v>
      </c>
      <c r="G29" s="3">
        <f t="shared" si="3"/>
        <v>101.60000000000036</v>
      </c>
      <c r="H29" s="2">
        <f t="shared" si="4"/>
        <v>333.33333333333451</v>
      </c>
      <c r="I29" s="9" t="s">
        <v>126</v>
      </c>
      <c r="J29" s="9" t="s">
        <v>142</v>
      </c>
      <c r="K29" s="25"/>
      <c r="L29" s="1">
        <v>26</v>
      </c>
    </row>
    <row r="30" spans="1:12" x14ac:dyDescent="0.25">
      <c r="A30" s="9" t="s">
        <v>45</v>
      </c>
      <c r="B30" s="1">
        <v>1</v>
      </c>
      <c r="C30" s="1">
        <v>0</v>
      </c>
      <c r="D30" s="9" t="s">
        <v>45</v>
      </c>
      <c r="E30" s="3">
        <f t="shared" si="2"/>
        <v>2540</v>
      </c>
      <c r="F30" s="3">
        <f>26*B1</f>
        <v>2641.6</v>
      </c>
      <c r="G30" s="3">
        <f t="shared" si="3"/>
        <v>101.59999999999991</v>
      </c>
      <c r="H30" s="2">
        <f t="shared" si="4"/>
        <v>333.33333333333303</v>
      </c>
      <c r="I30" s="9" t="s">
        <v>127</v>
      </c>
      <c r="J30" s="9" t="s">
        <v>143</v>
      </c>
      <c r="K30" s="25"/>
      <c r="L30" s="1">
        <v>27</v>
      </c>
    </row>
    <row r="31" spans="1:12" x14ac:dyDescent="0.25">
      <c r="A31" s="9" t="s">
        <v>30</v>
      </c>
      <c r="B31" s="1">
        <v>1</v>
      </c>
      <c r="C31" s="1">
        <v>0</v>
      </c>
      <c r="D31" s="9" t="s">
        <v>30</v>
      </c>
      <c r="E31" s="3">
        <f t="shared" si="2"/>
        <v>2641.6</v>
      </c>
      <c r="F31" s="3">
        <f>27*B1</f>
        <v>2743.2</v>
      </c>
      <c r="G31" s="3">
        <f t="shared" si="3"/>
        <v>101.59999999999991</v>
      </c>
      <c r="H31" s="2">
        <f t="shared" si="4"/>
        <v>333.33333333333303</v>
      </c>
      <c r="I31" s="9" t="s">
        <v>128</v>
      </c>
      <c r="J31" s="9" t="s">
        <v>144</v>
      </c>
      <c r="K31" s="25"/>
      <c r="L31" s="1">
        <v>28</v>
      </c>
    </row>
    <row r="32" spans="1:12" x14ac:dyDescent="0.25">
      <c r="A32" s="9" t="s">
        <v>17</v>
      </c>
      <c r="B32" s="1">
        <v>1</v>
      </c>
      <c r="C32" s="1">
        <v>0</v>
      </c>
      <c r="D32" s="9" t="s">
        <v>54</v>
      </c>
      <c r="E32" s="3">
        <f t="shared" si="2"/>
        <v>2743.2</v>
      </c>
      <c r="F32" s="3">
        <f>28*B1</f>
        <v>2844.7999999999997</v>
      </c>
      <c r="G32" s="3">
        <f t="shared" si="3"/>
        <v>101.59999999999991</v>
      </c>
      <c r="H32" s="2">
        <f t="shared" si="4"/>
        <v>333.33333333333303</v>
      </c>
      <c r="K32" s="25"/>
      <c r="L32" s="1">
        <v>29</v>
      </c>
    </row>
    <row r="33" spans="1:12" x14ac:dyDescent="0.25">
      <c r="A33" s="9" t="s">
        <v>18</v>
      </c>
      <c r="B33" s="1">
        <v>1</v>
      </c>
      <c r="C33" s="1">
        <v>0</v>
      </c>
      <c r="D33" s="9" t="s">
        <v>55</v>
      </c>
      <c r="E33" s="3">
        <f t="shared" si="2"/>
        <v>2844.7999999999997</v>
      </c>
      <c r="F33" s="3">
        <f>29*B1</f>
        <v>2946.3999999999996</v>
      </c>
      <c r="G33" s="3">
        <f t="shared" si="3"/>
        <v>101.59999999999991</v>
      </c>
      <c r="H33" s="2">
        <f t="shared" si="4"/>
        <v>333.33333333333303</v>
      </c>
      <c r="K33" s="25"/>
      <c r="L33" s="1">
        <v>30</v>
      </c>
    </row>
    <row r="34" spans="1:12" ht="15.75" thickBot="1" x14ac:dyDescent="0.3">
      <c r="A34" s="16" t="s">
        <v>19</v>
      </c>
      <c r="B34" s="16">
        <v>1</v>
      </c>
      <c r="C34" s="16">
        <v>0</v>
      </c>
      <c r="D34" s="16" t="s">
        <v>46</v>
      </c>
      <c r="E34" s="13">
        <f t="shared" si="2"/>
        <v>2946.3999999999996</v>
      </c>
      <c r="F34" s="13">
        <v>3050.5120000000002</v>
      </c>
      <c r="G34" s="13">
        <f t="shared" si="3"/>
        <v>104.11200000000053</v>
      </c>
      <c r="H34" s="14">
        <f t="shared" si="4"/>
        <v>341.57480314960804</v>
      </c>
      <c r="I34" s="12"/>
      <c r="J34" s="18" t="s">
        <v>301</v>
      </c>
      <c r="K34" s="26"/>
      <c r="L34" s="1">
        <v>31</v>
      </c>
    </row>
    <row r="35" spans="1:12" ht="15" customHeight="1" x14ac:dyDescent="0.25">
      <c r="A35" s="21" t="s">
        <v>20</v>
      </c>
      <c r="B35" s="21">
        <v>1</v>
      </c>
      <c r="C35" s="21">
        <v>1</v>
      </c>
      <c r="D35" s="21" t="s">
        <v>56</v>
      </c>
      <c r="E35" s="22">
        <v>2.512</v>
      </c>
      <c r="F35" s="22">
        <v>176.02099999999999</v>
      </c>
      <c r="G35" s="22">
        <f t="shared" ref="G35:G47" si="5">F35-E35</f>
        <v>173.50899999999999</v>
      </c>
      <c r="H35" s="23">
        <f t="shared" ref="H35:H47" si="6">G35/0.3048</f>
        <v>569.25524934383191</v>
      </c>
      <c r="I35" s="21" t="s">
        <v>302</v>
      </c>
      <c r="J35" s="21" t="s">
        <v>303</v>
      </c>
      <c r="K35" s="27" t="s">
        <v>29</v>
      </c>
      <c r="L35" s="1">
        <v>32</v>
      </c>
    </row>
    <row r="36" spans="1:12" x14ac:dyDescent="0.25">
      <c r="A36" s="9" t="s">
        <v>82</v>
      </c>
      <c r="B36" s="1">
        <v>1</v>
      </c>
      <c r="C36" s="1">
        <v>1</v>
      </c>
      <c r="D36" s="9" t="s">
        <v>57</v>
      </c>
      <c r="E36" s="3">
        <f t="shared" ref="E36:E53" si="7">F35</f>
        <v>176.02099999999999</v>
      </c>
      <c r="F36" s="3">
        <v>206.26769999999999</v>
      </c>
      <c r="G36" s="3">
        <f t="shared" si="5"/>
        <v>30.246700000000004</v>
      </c>
      <c r="H36" s="2">
        <f t="shared" si="6"/>
        <v>99.234580052493442</v>
      </c>
      <c r="I36" s="1" t="s">
        <v>304</v>
      </c>
      <c r="K36" s="25"/>
      <c r="L36" s="1">
        <v>33</v>
      </c>
    </row>
    <row r="37" spans="1:12" x14ac:dyDescent="0.25">
      <c r="A37" s="1" t="s">
        <v>83</v>
      </c>
      <c r="B37" s="1">
        <v>1</v>
      </c>
      <c r="C37" s="1">
        <v>1</v>
      </c>
      <c r="D37" s="9" t="s">
        <v>57</v>
      </c>
      <c r="E37" s="3">
        <f t="shared" si="7"/>
        <v>206.26769999999999</v>
      </c>
      <c r="F37" s="3">
        <v>232.22800000000001</v>
      </c>
      <c r="G37" s="3">
        <f t="shared" si="5"/>
        <v>25.960300000000018</v>
      </c>
      <c r="H37" s="2">
        <f t="shared" si="6"/>
        <v>85.171587926509247</v>
      </c>
      <c r="K37" s="25"/>
      <c r="L37" s="1">
        <v>34</v>
      </c>
    </row>
    <row r="38" spans="1:12" x14ac:dyDescent="0.25">
      <c r="A38" s="1" t="s">
        <v>84</v>
      </c>
      <c r="B38" s="1">
        <v>1</v>
      </c>
      <c r="C38" s="1">
        <v>1</v>
      </c>
      <c r="D38" s="9" t="s">
        <v>57</v>
      </c>
      <c r="E38" s="3">
        <f t="shared" si="7"/>
        <v>232.22800000000001</v>
      </c>
      <c r="F38" s="3">
        <v>259.81369999999998</v>
      </c>
      <c r="G38" s="3">
        <f t="shared" si="5"/>
        <v>27.585699999999974</v>
      </c>
      <c r="H38" s="2">
        <f t="shared" si="6"/>
        <v>90.504265091863431</v>
      </c>
      <c r="K38" s="25"/>
      <c r="L38" s="1">
        <v>35</v>
      </c>
    </row>
    <row r="39" spans="1:12" x14ac:dyDescent="0.25">
      <c r="A39" s="1" t="s">
        <v>85</v>
      </c>
      <c r="B39" s="1">
        <v>1</v>
      </c>
      <c r="C39" s="1">
        <v>1</v>
      </c>
      <c r="D39" s="9" t="s">
        <v>57</v>
      </c>
      <c r="E39" s="3">
        <f t="shared" si="7"/>
        <v>259.81369999999998</v>
      </c>
      <c r="F39" s="3">
        <v>290.34840000000003</v>
      </c>
      <c r="G39" s="3">
        <f t="shared" si="5"/>
        <v>30.534700000000043</v>
      </c>
      <c r="H39" s="2">
        <f t="shared" si="6"/>
        <v>100.17946194225736</v>
      </c>
      <c r="K39" s="25"/>
      <c r="L39" s="1">
        <v>36</v>
      </c>
    </row>
    <row r="40" spans="1:12" x14ac:dyDescent="0.25">
      <c r="A40" s="1" t="s">
        <v>86</v>
      </c>
      <c r="B40" s="1">
        <v>1</v>
      </c>
      <c r="C40" s="1">
        <v>1</v>
      </c>
      <c r="D40" s="9" t="s">
        <v>57</v>
      </c>
      <c r="E40" s="3">
        <f t="shared" si="7"/>
        <v>290.34840000000003</v>
      </c>
      <c r="F40" s="3">
        <v>317.5478</v>
      </c>
      <c r="G40" s="3">
        <f t="shared" si="5"/>
        <v>27.199399999999969</v>
      </c>
      <c r="H40" s="2">
        <f t="shared" si="6"/>
        <v>89.236876640419837</v>
      </c>
      <c r="K40" s="25"/>
      <c r="L40" s="1">
        <v>37</v>
      </c>
    </row>
    <row r="41" spans="1:12" x14ac:dyDescent="0.25">
      <c r="A41" s="1" t="s">
        <v>87</v>
      </c>
      <c r="B41" s="1">
        <v>1</v>
      </c>
      <c r="C41" s="1">
        <v>1</v>
      </c>
      <c r="D41" s="9" t="s">
        <v>57</v>
      </c>
      <c r="E41" s="3">
        <f t="shared" si="7"/>
        <v>317.5478</v>
      </c>
      <c r="F41" s="3">
        <v>345.12759999999997</v>
      </c>
      <c r="G41" s="3">
        <f t="shared" si="5"/>
        <v>27.579799999999977</v>
      </c>
      <c r="H41" s="2">
        <f t="shared" si="6"/>
        <v>90.484908136482858</v>
      </c>
      <c r="K41" s="25"/>
      <c r="L41" s="1">
        <v>38</v>
      </c>
    </row>
    <row r="42" spans="1:12" x14ac:dyDescent="0.25">
      <c r="A42" s="1" t="s">
        <v>88</v>
      </c>
      <c r="B42" s="1">
        <v>1</v>
      </c>
      <c r="C42" s="1">
        <v>1</v>
      </c>
      <c r="D42" s="9" t="s">
        <v>57</v>
      </c>
      <c r="E42" s="3">
        <f t="shared" si="7"/>
        <v>345.12759999999997</v>
      </c>
      <c r="F42" s="3">
        <v>368.2201</v>
      </c>
      <c r="G42" s="3">
        <f t="shared" si="5"/>
        <v>23.09250000000003</v>
      </c>
      <c r="H42" s="2">
        <f t="shared" si="6"/>
        <v>75.762795275590648</v>
      </c>
      <c r="K42" s="25"/>
      <c r="L42" s="1">
        <v>39</v>
      </c>
    </row>
    <row r="43" spans="1:12" x14ac:dyDescent="0.25">
      <c r="A43" s="1" t="s">
        <v>89</v>
      </c>
      <c r="B43" s="1">
        <v>1</v>
      </c>
      <c r="C43" s="1">
        <v>1</v>
      </c>
      <c r="D43" s="9" t="s">
        <v>57</v>
      </c>
      <c r="E43" s="3">
        <f t="shared" si="7"/>
        <v>368.2201</v>
      </c>
      <c r="F43" s="3">
        <v>397.24529999999999</v>
      </c>
      <c r="G43" s="3">
        <f t="shared" si="5"/>
        <v>29.025199999999984</v>
      </c>
      <c r="H43" s="2">
        <f t="shared" si="6"/>
        <v>95.227034120734857</v>
      </c>
      <c r="K43" s="25"/>
      <c r="L43" s="1">
        <v>40</v>
      </c>
    </row>
    <row r="44" spans="1:12" x14ac:dyDescent="0.25">
      <c r="A44" s="1" t="s">
        <v>90</v>
      </c>
      <c r="B44" s="1">
        <v>1</v>
      </c>
      <c r="C44" s="1">
        <v>1</v>
      </c>
      <c r="D44" s="9" t="s">
        <v>57</v>
      </c>
      <c r="E44" s="3">
        <f t="shared" si="7"/>
        <v>397.24529999999999</v>
      </c>
      <c r="F44" s="3">
        <v>427.69080000000002</v>
      </c>
      <c r="G44" s="3">
        <f t="shared" si="5"/>
        <v>30.445500000000038</v>
      </c>
      <c r="H44" s="2">
        <f t="shared" si="6"/>
        <v>99.886811023622172</v>
      </c>
      <c r="K44" s="25"/>
      <c r="L44" s="1">
        <v>41</v>
      </c>
    </row>
    <row r="45" spans="1:12" x14ac:dyDescent="0.25">
      <c r="A45" s="1" t="s">
        <v>91</v>
      </c>
      <c r="B45" s="1">
        <v>1</v>
      </c>
      <c r="C45" s="1">
        <v>1</v>
      </c>
      <c r="D45" s="9" t="s">
        <v>57</v>
      </c>
      <c r="E45" s="3">
        <f t="shared" si="7"/>
        <v>427.69080000000002</v>
      </c>
      <c r="F45" s="3">
        <v>454.54790000000003</v>
      </c>
      <c r="G45" s="3">
        <f t="shared" si="5"/>
        <v>26.857100000000003</v>
      </c>
      <c r="H45" s="2">
        <f t="shared" si="6"/>
        <v>88.113845144356958</v>
      </c>
      <c r="K45" s="25"/>
      <c r="L45" s="1">
        <v>42</v>
      </c>
    </row>
    <row r="46" spans="1:12" x14ac:dyDescent="0.25">
      <c r="A46" s="1" t="s">
        <v>92</v>
      </c>
      <c r="B46" s="1">
        <v>1</v>
      </c>
      <c r="C46" s="1">
        <v>1</v>
      </c>
      <c r="D46" s="9" t="s">
        <v>57</v>
      </c>
      <c r="E46" s="3">
        <f t="shared" si="7"/>
        <v>454.54790000000003</v>
      </c>
      <c r="F46" s="3">
        <v>483.80799999999999</v>
      </c>
      <c r="G46" s="3">
        <f t="shared" si="5"/>
        <v>29.260099999999966</v>
      </c>
      <c r="H46" s="2">
        <f t="shared" si="6"/>
        <v>95.997703412073378</v>
      </c>
      <c r="K46" s="25"/>
      <c r="L46" s="1">
        <v>43</v>
      </c>
    </row>
    <row r="47" spans="1:12" x14ac:dyDescent="0.25">
      <c r="A47" s="1" t="s">
        <v>93</v>
      </c>
      <c r="B47" s="1">
        <v>1</v>
      </c>
      <c r="C47" s="1">
        <v>1</v>
      </c>
      <c r="D47" s="9" t="s">
        <v>57</v>
      </c>
      <c r="E47" s="3">
        <f t="shared" si="7"/>
        <v>483.80799999999999</v>
      </c>
      <c r="F47" s="3">
        <v>517.65700000000004</v>
      </c>
      <c r="G47" s="3">
        <f t="shared" si="5"/>
        <v>33.849000000000046</v>
      </c>
      <c r="H47" s="2">
        <f t="shared" si="6"/>
        <v>111.05314960629936</v>
      </c>
      <c r="J47" s="1" t="s">
        <v>311</v>
      </c>
      <c r="K47" s="25"/>
      <c r="L47" s="1">
        <v>44</v>
      </c>
    </row>
    <row r="48" spans="1:12" x14ac:dyDescent="0.25">
      <c r="A48" s="1" t="s">
        <v>96</v>
      </c>
      <c r="B48" s="1">
        <v>1</v>
      </c>
      <c r="C48" s="1">
        <v>1</v>
      </c>
      <c r="D48" s="1" t="s">
        <v>58</v>
      </c>
      <c r="E48" s="3">
        <f t="shared" si="7"/>
        <v>517.65700000000004</v>
      </c>
      <c r="F48" s="3">
        <v>559.58649200000002</v>
      </c>
      <c r="G48" s="3">
        <f t="shared" ref="G48:G58" si="8">F48-E48</f>
        <v>41.929491999999982</v>
      </c>
      <c r="H48" s="3">
        <f t="shared" ref="H48:H57" si="9">G48/0.3048</f>
        <v>137.56395013123353</v>
      </c>
      <c r="I48" s="1" t="s">
        <v>317</v>
      </c>
      <c r="K48" s="25"/>
      <c r="L48" s="1">
        <v>45</v>
      </c>
    </row>
    <row r="49" spans="1:13" x14ac:dyDescent="0.25">
      <c r="A49" s="1" t="s">
        <v>97</v>
      </c>
      <c r="B49" s="1">
        <v>1</v>
      </c>
      <c r="C49" s="1">
        <v>1</v>
      </c>
      <c r="D49" s="1" t="s">
        <v>58</v>
      </c>
      <c r="E49" s="3">
        <f t="shared" si="7"/>
        <v>559.58649200000002</v>
      </c>
      <c r="F49" s="3">
        <v>594.78649199999995</v>
      </c>
      <c r="G49" s="3">
        <f t="shared" si="8"/>
        <v>35.199999999999932</v>
      </c>
      <c r="H49" s="3">
        <f t="shared" si="9"/>
        <v>115.48556430446172</v>
      </c>
      <c r="K49" s="25"/>
      <c r="L49" s="1">
        <v>46</v>
      </c>
    </row>
    <row r="50" spans="1:13" x14ac:dyDescent="0.25">
      <c r="A50" s="1" t="s">
        <v>98</v>
      </c>
      <c r="B50" s="1">
        <v>1</v>
      </c>
      <c r="C50" s="1">
        <v>1</v>
      </c>
      <c r="D50" s="1" t="s">
        <v>58</v>
      </c>
      <c r="E50" s="3">
        <f t="shared" si="7"/>
        <v>594.78649199999995</v>
      </c>
      <c r="F50" s="3">
        <v>629.986492</v>
      </c>
      <c r="G50" s="3">
        <f t="shared" si="8"/>
        <v>35.200000000000045</v>
      </c>
      <c r="H50" s="3">
        <f t="shared" si="9"/>
        <v>115.48556430446209</v>
      </c>
      <c r="K50" s="25"/>
      <c r="L50" s="1">
        <v>47</v>
      </c>
    </row>
    <row r="51" spans="1:13" x14ac:dyDescent="0.25">
      <c r="A51" s="1" t="s">
        <v>99</v>
      </c>
      <c r="B51" s="1">
        <v>1</v>
      </c>
      <c r="C51" s="1">
        <v>1</v>
      </c>
      <c r="D51" s="1" t="s">
        <v>58</v>
      </c>
      <c r="E51" s="3">
        <f t="shared" si="7"/>
        <v>629.986492</v>
      </c>
      <c r="F51" s="3">
        <v>670.486492</v>
      </c>
      <c r="G51" s="3">
        <f t="shared" si="8"/>
        <v>40.5</v>
      </c>
      <c r="H51" s="3">
        <f t="shared" si="9"/>
        <v>132.8740157480315</v>
      </c>
      <c r="J51" s="1" t="s">
        <v>318</v>
      </c>
      <c r="K51" s="25"/>
      <c r="L51" s="1">
        <v>48</v>
      </c>
    </row>
    <row r="52" spans="1:13" x14ac:dyDescent="0.25">
      <c r="A52" s="1" t="s">
        <v>94</v>
      </c>
      <c r="B52" s="1">
        <v>1</v>
      </c>
      <c r="C52" s="1">
        <v>1</v>
      </c>
      <c r="D52" s="1" t="s">
        <v>59</v>
      </c>
      <c r="E52" s="3">
        <f t="shared" si="7"/>
        <v>670.486492</v>
      </c>
      <c r="F52" s="3">
        <v>686.41</v>
      </c>
      <c r="G52" s="3">
        <f t="shared" si="8"/>
        <v>15.92350799999997</v>
      </c>
      <c r="H52" s="2">
        <f t="shared" si="9"/>
        <v>52.242480314960531</v>
      </c>
      <c r="I52" s="1" t="s">
        <v>319</v>
      </c>
      <c r="J52" s="1" t="s">
        <v>320</v>
      </c>
      <c r="K52" s="25"/>
      <c r="L52" s="1">
        <v>49</v>
      </c>
    </row>
    <row r="53" spans="1:13" x14ac:dyDescent="0.25">
      <c r="A53" s="1" t="s">
        <v>95</v>
      </c>
      <c r="B53" s="1">
        <v>1</v>
      </c>
      <c r="C53" s="1">
        <v>1</v>
      </c>
      <c r="D53" s="1" t="s">
        <v>60</v>
      </c>
      <c r="E53" s="3">
        <f t="shared" si="7"/>
        <v>686.41</v>
      </c>
      <c r="F53" s="3">
        <v>717.47500000000002</v>
      </c>
      <c r="G53" s="3">
        <f t="shared" si="8"/>
        <v>31.065000000000055</v>
      </c>
      <c r="H53" s="2">
        <f t="shared" si="9"/>
        <v>101.91929133858285</v>
      </c>
      <c r="I53" s="1" t="s">
        <v>321</v>
      </c>
      <c r="J53" s="1" t="s">
        <v>322</v>
      </c>
      <c r="K53" s="25"/>
      <c r="L53" s="1">
        <v>50</v>
      </c>
    </row>
    <row r="54" spans="1:13" x14ac:dyDescent="0.25">
      <c r="A54" s="1" t="s">
        <v>110</v>
      </c>
      <c r="B54" s="1">
        <v>2</v>
      </c>
      <c r="C54" s="1">
        <v>1</v>
      </c>
      <c r="D54" s="1" t="s">
        <v>111</v>
      </c>
      <c r="E54" s="3">
        <v>686.41033000000004</v>
      </c>
      <c r="F54" s="3">
        <v>714.07619999999997</v>
      </c>
      <c r="G54" s="3">
        <f t="shared" si="8"/>
        <v>27.665869999999927</v>
      </c>
      <c r="H54" s="2">
        <f t="shared" si="9"/>
        <v>90.767290026246471</v>
      </c>
      <c r="I54" s="1" t="s">
        <v>323</v>
      </c>
      <c r="J54" s="17" t="s">
        <v>324</v>
      </c>
      <c r="K54" s="25"/>
      <c r="L54" s="1">
        <v>51</v>
      </c>
    </row>
    <row r="55" spans="1:13" x14ac:dyDescent="0.25">
      <c r="A55" s="1" t="s">
        <v>112</v>
      </c>
      <c r="B55" s="1">
        <v>3</v>
      </c>
      <c r="C55" s="1">
        <v>1</v>
      </c>
      <c r="D55" s="1" t="s">
        <v>342</v>
      </c>
      <c r="E55" s="3">
        <v>700.52800000000002</v>
      </c>
      <c r="F55" s="3">
        <v>740.28098599999998</v>
      </c>
      <c r="G55" s="3">
        <f t="shared" si="8"/>
        <v>39.752985999999964</v>
      </c>
      <c r="H55" s="2">
        <f t="shared" si="9"/>
        <v>130.42318241469803</v>
      </c>
      <c r="I55" s="1" t="s">
        <v>343</v>
      </c>
      <c r="J55" s="17" t="s">
        <v>344</v>
      </c>
      <c r="K55" s="25"/>
      <c r="L55" s="1">
        <v>52</v>
      </c>
    </row>
    <row r="56" spans="1:13" x14ac:dyDescent="0.25">
      <c r="A56" s="1" t="s">
        <v>112</v>
      </c>
      <c r="B56" s="1">
        <v>4</v>
      </c>
      <c r="C56" s="1">
        <v>1</v>
      </c>
      <c r="D56" s="1" t="s">
        <v>348</v>
      </c>
      <c r="E56" s="3">
        <v>733.77200000000005</v>
      </c>
      <c r="F56" s="3">
        <v>756.09956099999999</v>
      </c>
      <c r="G56" s="3">
        <f t="shared" si="8"/>
        <v>22.327560999999946</v>
      </c>
      <c r="H56" s="2">
        <f t="shared" si="9"/>
        <v>73.253152887138924</v>
      </c>
      <c r="I56" s="1" t="s">
        <v>345</v>
      </c>
      <c r="J56" s="17" t="s">
        <v>350</v>
      </c>
      <c r="K56" s="25"/>
      <c r="L56" s="1">
        <v>53</v>
      </c>
    </row>
    <row r="57" spans="1:13" x14ac:dyDescent="0.25">
      <c r="A57" s="1" t="s">
        <v>112</v>
      </c>
      <c r="B57" s="1">
        <v>5</v>
      </c>
      <c r="C57" s="1">
        <v>1</v>
      </c>
      <c r="D57" s="1" t="s">
        <v>349</v>
      </c>
      <c r="E57" s="1">
        <v>733.77200000000005</v>
      </c>
      <c r="F57" s="3">
        <v>758.29</v>
      </c>
      <c r="G57" s="3">
        <f t="shared" si="8"/>
        <v>24.517999999999915</v>
      </c>
      <c r="H57" s="2">
        <f t="shared" si="9"/>
        <v>80.439632545931474</v>
      </c>
      <c r="I57" s="1" t="s">
        <v>346</v>
      </c>
      <c r="J57" s="17" t="s">
        <v>347</v>
      </c>
      <c r="K57" s="25"/>
      <c r="L57" s="1">
        <v>54</v>
      </c>
    </row>
    <row r="58" spans="1:13" x14ac:dyDescent="0.25">
      <c r="A58" s="1" t="s">
        <v>306</v>
      </c>
      <c r="B58" s="1">
        <v>9</v>
      </c>
      <c r="C58" s="1">
        <v>1</v>
      </c>
      <c r="D58" s="1" t="s">
        <v>306</v>
      </c>
      <c r="E58" s="1">
        <v>130.392</v>
      </c>
      <c r="F58" s="3">
        <v>313.05599999999998</v>
      </c>
      <c r="G58" s="3">
        <f t="shared" si="8"/>
        <v>182.66399999999999</v>
      </c>
      <c r="H58" s="2">
        <f>G58/0.3048</f>
        <v>599.2913385826771</v>
      </c>
      <c r="I58" s="1" t="s">
        <v>375</v>
      </c>
      <c r="J58" s="17" t="s">
        <v>356</v>
      </c>
      <c r="K58" s="25"/>
      <c r="L58" s="1">
        <v>55</v>
      </c>
    </row>
    <row r="59" spans="1:13" ht="15.75" thickBot="1" x14ac:dyDescent="0.3">
      <c r="A59" s="12" t="s">
        <v>355</v>
      </c>
      <c r="B59" s="12">
        <v>9</v>
      </c>
      <c r="C59" s="12">
        <v>1</v>
      </c>
      <c r="D59" s="12" t="s">
        <v>355</v>
      </c>
      <c r="E59" s="12">
        <v>313.05599999999998</v>
      </c>
      <c r="F59" s="13">
        <v>455.10700000000003</v>
      </c>
      <c r="G59" s="13">
        <f t="shared" ref="G59:G61" si="10">F59-E59</f>
        <v>142.05100000000004</v>
      </c>
      <c r="H59" s="14">
        <f t="shared" ref="H59:H61" si="11">G59/0.3048</f>
        <v>466.04658792650929</v>
      </c>
      <c r="I59" s="12" t="s">
        <v>356</v>
      </c>
      <c r="J59" s="18" t="s">
        <v>354</v>
      </c>
      <c r="K59" s="26"/>
      <c r="L59" s="1">
        <v>56</v>
      </c>
    </row>
    <row r="60" spans="1:13" x14ac:dyDescent="0.25">
      <c r="A60" s="1" t="s">
        <v>0</v>
      </c>
      <c r="B60" s="1">
        <v>17</v>
      </c>
      <c r="C60" s="1">
        <v>0</v>
      </c>
      <c r="D60" s="1" t="s">
        <v>387</v>
      </c>
      <c r="E60" s="1">
        <v>-29.234999999999999</v>
      </c>
      <c r="F60" s="3">
        <v>0</v>
      </c>
      <c r="G60" s="3">
        <f t="shared" si="10"/>
        <v>29.234999999999999</v>
      </c>
      <c r="H60" s="2">
        <f t="shared" si="11"/>
        <v>95.915354330708652</v>
      </c>
      <c r="I60" s="1" t="s">
        <v>388</v>
      </c>
      <c r="K60" s="24"/>
      <c r="L60" s="1">
        <v>57</v>
      </c>
      <c r="M60" s="1">
        <v>1</v>
      </c>
    </row>
    <row r="61" spans="1:13" x14ac:dyDescent="0.25">
      <c r="A61" s="1" t="s">
        <v>0</v>
      </c>
      <c r="B61" s="1">
        <v>18</v>
      </c>
      <c r="C61" s="1">
        <v>0</v>
      </c>
      <c r="D61" s="1" t="s">
        <v>392</v>
      </c>
      <c r="E61" s="1">
        <v>-3.2050000000000001</v>
      </c>
      <c r="F61" s="3">
        <v>0</v>
      </c>
      <c r="G61" s="3">
        <f t="shared" si="10"/>
        <v>3.2050000000000001</v>
      </c>
      <c r="H61" s="2">
        <f t="shared" si="11"/>
        <v>10.51509186351706</v>
      </c>
      <c r="I61" s="1" t="s">
        <v>391</v>
      </c>
      <c r="K61" s="24"/>
      <c r="L61" s="1">
        <v>58</v>
      </c>
      <c r="M61" s="1">
        <v>1</v>
      </c>
    </row>
    <row r="62" spans="1:13" x14ac:dyDescent="0.25">
      <c r="A62" s="1" t="str">
        <f>$A$5</f>
        <v>S01</v>
      </c>
      <c r="B62" s="1">
        <v>8</v>
      </c>
      <c r="C62" s="1">
        <f>$C$5</f>
        <v>0</v>
      </c>
      <c r="D62" s="1" t="str">
        <f>$D$5</f>
        <v>L0B/HTR/DIAG0/COL0/L1B</v>
      </c>
      <c r="E62" s="3">
        <f>$E$5</f>
        <v>0</v>
      </c>
      <c r="F62" s="3">
        <f>$F$5</f>
        <v>101.6</v>
      </c>
      <c r="G62" s="3">
        <f>$G$5</f>
        <v>101.6</v>
      </c>
      <c r="H62" s="2">
        <f>$H$5</f>
        <v>333.33333333333331</v>
      </c>
      <c r="K62" s="28" t="s">
        <v>364</v>
      </c>
      <c r="L62" s="1">
        <v>59</v>
      </c>
      <c r="M62" s="1">
        <f>$L$5</f>
        <v>2</v>
      </c>
    </row>
    <row r="63" spans="1:13" x14ac:dyDescent="0.25">
      <c r="A63" s="1" t="s">
        <v>1</v>
      </c>
      <c r="B63" s="1">
        <v>18</v>
      </c>
      <c r="C63" s="1">
        <v>0</v>
      </c>
      <c r="D63" s="1" t="s">
        <v>392</v>
      </c>
      <c r="E63" s="3">
        <v>0</v>
      </c>
      <c r="F63" s="3">
        <v>11.541</v>
      </c>
      <c r="G63" s="3">
        <f>F63-E63</f>
        <v>11.541</v>
      </c>
      <c r="H63" s="2">
        <f>G63/0.3048</f>
        <v>37.864173228346459</v>
      </c>
      <c r="J63" s="1" t="s">
        <v>393</v>
      </c>
      <c r="K63" s="28"/>
      <c r="L63" s="1">
        <v>60</v>
      </c>
      <c r="M63" s="1">
        <v>2</v>
      </c>
    </row>
    <row r="64" spans="1:13" x14ac:dyDescent="0.25">
      <c r="A64" s="1" t="s">
        <v>1</v>
      </c>
      <c r="B64" s="1">
        <v>17</v>
      </c>
      <c r="C64" s="1">
        <v>0</v>
      </c>
      <c r="D64" s="1" t="s">
        <v>389</v>
      </c>
      <c r="E64" s="3">
        <v>0</v>
      </c>
      <c r="F64" s="3">
        <v>12.895</v>
      </c>
      <c r="G64" s="3">
        <f>F64-E64</f>
        <v>12.895</v>
      </c>
      <c r="H64" s="2">
        <f>G64/0.3048</f>
        <v>42.30643044619422</v>
      </c>
      <c r="J64" s="1" t="s">
        <v>390</v>
      </c>
      <c r="K64" s="28"/>
      <c r="L64" s="1">
        <v>61</v>
      </c>
      <c r="M64" s="1">
        <v>2</v>
      </c>
    </row>
    <row r="65" spans="1:13" x14ac:dyDescent="0.25">
      <c r="A65" s="9" t="str">
        <f>$A$32</f>
        <v>S28</v>
      </c>
      <c r="B65" s="1">
        <v>6</v>
      </c>
      <c r="C65" s="1">
        <f>$C$32</f>
        <v>0</v>
      </c>
      <c r="D65" s="9" t="s">
        <v>369</v>
      </c>
      <c r="E65" s="3">
        <f>$E$32</f>
        <v>2743.2</v>
      </c>
      <c r="F65" s="3">
        <f>$F$32</f>
        <v>2844.7999999999997</v>
      </c>
      <c r="G65" s="3">
        <f>$G$32</f>
        <v>101.59999999999991</v>
      </c>
      <c r="H65" s="2">
        <f>$H$32</f>
        <v>333.33333333333303</v>
      </c>
      <c r="K65" s="28"/>
      <c r="L65" s="1">
        <v>62</v>
      </c>
      <c r="M65" s="1">
        <f>$L$32</f>
        <v>29</v>
      </c>
    </row>
    <row r="66" spans="1:13" x14ac:dyDescent="0.25">
      <c r="A66" s="9" t="str">
        <f>$A$32</f>
        <v>S28</v>
      </c>
      <c r="B66" s="1">
        <v>7</v>
      </c>
      <c r="C66" s="1">
        <f>$C$32</f>
        <v>0</v>
      </c>
      <c r="D66" s="9" t="str">
        <f>$D$32</f>
        <v>BYP/SPD1</v>
      </c>
      <c r="E66" s="3">
        <f>$E$32</f>
        <v>2743.2</v>
      </c>
      <c r="F66" s="3">
        <f>$F$32</f>
        <v>2844.7999999999997</v>
      </c>
      <c r="G66" s="3">
        <f>$G$32</f>
        <v>101.59999999999991</v>
      </c>
      <c r="H66" s="2">
        <f>$H$32</f>
        <v>333.33333333333303</v>
      </c>
      <c r="K66" s="28"/>
      <c r="L66" s="1">
        <v>63</v>
      </c>
      <c r="M66" s="1">
        <f t="shared" ref="M66:M67" si="12">$L$32</f>
        <v>29</v>
      </c>
    </row>
    <row r="67" spans="1:13" x14ac:dyDescent="0.25">
      <c r="A67" s="9" t="str">
        <f>$A$32</f>
        <v>S28</v>
      </c>
      <c r="B67" s="1">
        <v>9</v>
      </c>
      <c r="C67" s="1">
        <f>$C$32</f>
        <v>0</v>
      </c>
      <c r="D67" s="9" t="str">
        <f>$D$32</f>
        <v>BYP/SPD1</v>
      </c>
      <c r="E67" s="3">
        <f>$E$32</f>
        <v>2743.2</v>
      </c>
      <c r="F67" s="3">
        <f>$F$32</f>
        <v>2844.7999999999997</v>
      </c>
      <c r="G67" s="3">
        <f>$G$32</f>
        <v>101.59999999999991</v>
      </c>
      <c r="H67" s="2">
        <f>$H$32</f>
        <v>333.33333333333303</v>
      </c>
      <c r="K67" s="28"/>
      <c r="L67" s="1">
        <v>64</v>
      </c>
      <c r="M67" s="1">
        <f t="shared" si="12"/>
        <v>29</v>
      </c>
    </row>
    <row r="68" spans="1:13" x14ac:dyDescent="0.25">
      <c r="A68" s="9" t="str">
        <f>$A$33</f>
        <v>S29</v>
      </c>
      <c r="B68" s="1">
        <v>6</v>
      </c>
      <c r="C68" s="1">
        <f>$C$33</f>
        <v>0</v>
      </c>
      <c r="D68" s="9" t="s">
        <v>365</v>
      </c>
      <c r="E68" s="3">
        <f>$E$33</f>
        <v>2844.7999999999997</v>
      </c>
      <c r="F68" s="3">
        <f>$F$33</f>
        <v>2946.3999999999996</v>
      </c>
      <c r="G68" s="3">
        <f>$G$33</f>
        <v>101.59999999999991</v>
      </c>
      <c r="H68" s="2">
        <f>$H$33</f>
        <v>333.33333333333303</v>
      </c>
      <c r="K68" s="28"/>
      <c r="L68" s="1">
        <v>65</v>
      </c>
      <c r="M68" s="1">
        <f>$L$33</f>
        <v>30</v>
      </c>
    </row>
    <row r="69" spans="1:13" x14ac:dyDescent="0.25">
      <c r="A69" s="9" t="str">
        <f>$A$33</f>
        <v>S29</v>
      </c>
      <c r="B69" s="1">
        <v>7</v>
      </c>
      <c r="C69" s="1">
        <f>$C$33</f>
        <v>0</v>
      </c>
      <c r="D69" s="9" t="s">
        <v>370</v>
      </c>
      <c r="E69" s="3">
        <f>$E$33</f>
        <v>2844.7999999999997</v>
      </c>
      <c r="F69" s="3">
        <f>$F$33</f>
        <v>2946.3999999999996</v>
      </c>
      <c r="G69" s="3">
        <f>$G$33</f>
        <v>101.59999999999991</v>
      </c>
      <c r="H69" s="2">
        <f>$H$33</f>
        <v>333.33333333333303</v>
      </c>
      <c r="K69" s="28"/>
      <c r="L69" s="1">
        <v>66</v>
      </c>
      <c r="M69" s="1">
        <f t="shared" ref="M69:M70" si="13">$L$33</f>
        <v>30</v>
      </c>
    </row>
    <row r="70" spans="1:13" x14ac:dyDescent="0.25">
      <c r="A70" s="9" t="str">
        <f>$A$33</f>
        <v>S29</v>
      </c>
      <c r="B70" s="1">
        <v>9</v>
      </c>
      <c r="C70" s="1">
        <f>$C$33</f>
        <v>0</v>
      </c>
      <c r="D70" s="9" t="s">
        <v>372</v>
      </c>
      <c r="E70" s="3">
        <f>$E$33</f>
        <v>2844.7999999999997</v>
      </c>
      <c r="F70" s="3">
        <f>$F$33</f>
        <v>2946.3999999999996</v>
      </c>
      <c r="G70" s="3">
        <f>$G$33</f>
        <v>101.59999999999991</v>
      </c>
      <c r="H70" s="2">
        <f>$H$33</f>
        <v>333.33333333333303</v>
      </c>
      <c r="K70" s="28"/>
      <c r="L70" s="1">
        <v>67</v>
      </c>
      <c r="M70" s="1">
        <f t="shared" si="13"/>
        <v>30</v>
      </c>
    </row>
    <row r="71" spans="1:13" x14ac:dyDescent="0.25">
      <c r="A71" s="9" t="str">
        <f>$A$34</f>
        <v>S30</v>
      </c>
      <c r="B71" s="9">
        <v>6</v>
      </c>
      <c r="C71" s="9">
        <f>$C$34</f>
        <v>0</v>
      </c>
      <c r="D71" s="9" t="s">
        <v>365</v>
      </c>
      <c r="E71" s="3">
        <f>$E$34</f>
        <v>2946.3999999999996</v>
      </c>
      <c r="F71" s="3">
        <f>$F$34</f>
        <v>3050.5120000000002</v>
      </c>
      <c r="G71" s="3">
        <f>$G$34</f>
        <v>104.11200000000053</v>
      </c>
      <c r="H71" s="2">
        <f>$H$34</f>
        <v>341.57480314960804</v>
      </c>
      <c r="K71" s="28"/>
      <c r="L71" s="1">
        <v>68</v>
      </c>
      <c r="M71" s="1">
        <f>$L$34</f>
        <v>31</v>
      </c>
    </row>
    <row r="72" spans="1:13" x14ac:dyDescent="0.25">
      <c r="A72" s="9" t="str">
        <f>$A$34</f>
        <v>S30</v>
      </c>
      <c r="B72" s="9">
        <v>7</v>
      </c>
      <c r="C72" s="9">
        <f>$C$34</f>
        <v>0</v>
      </c>
      <c r="D72" s="9" t="s">
        <v>371</v>
      </c>
      <c r="E72" s="3">
        <f>$E$34</f>
        <v>2946.3999999999996</v>
      </c>
      <c r="F72" s="3">
        <f>$F$34</f>
        <v>3050.5120000000002</v>
      </c>
      <c r="G72" s="3">
        <f>$G$34</f>
        <v>104.11200000000053</v>
      </c>
      <c r="H72" s="2">
        <f>$H$34</f>
        <v>341.57480314960804</v>
      </c>
      <c r="K72" s="28"/>
      <c r="L72" s="1">
        <v>69</v>
      </c>
      <c r="M72" s="1">
        <f>$L$34</f>
        <v>31</v>
      </c>
    </row>
    <row r="73" spans="1:13" x14ac:dyDescent="0.25">
      <c r="A73" s="9" t="str">
        <f>$A$34</f>
        <v>S30</v>
      </c>
      <c r="B73" s="9">
        <v>9</v>
      </c>
      <c r="C73" s="9">
        <f>$C$34</f>
        <v>0</v>
      </c>
      <c r="D73" s="9" t="s">
        <v>366</v>
      </c>
      <c r="E73" s="3">
        <f>$E$34</f>
        <v>2946.3999999999996</v>
      </c>
      <c r="F73" s="3">
        <f>$F$34</f>
        <v>3050.5120000000002</v>
      </c>
      <c r="G73" s="3">
        <f>$G$34</f>
        <v>104.11200000000053</v>
      </c>
      <c r="H73" s="2">
        <f>$H$34</f>
        <v>341.57480314960804</v>
      </c>
      <c r="K73" s="28"/>
      <c r="L73" s="1">
        <v>70</v>
      </c>
      <c r="M73" s="1">
        <f>$L$34</f>
        <v>31</v>
      </c>
    </row>
    <row r="74" spans="1:13" x14ac:dyDescent="0.25">
      <c r="A74" s="1" t="str">
        <f>$A$35</f>
        <v>BSY</v>
      </c>
      <c r="B74" s="1">
        <v>6</v>
      </c>
      <c r="C74" s="1">
        <f>$C$35</f>
        <v>1</v>
      </c>
      <c r="D74" s="1" t="s">
        <v>374</v>
      </c>
      <c r="E74" s="3">
        <v>2.512</v>
      </c>
      <c r="F74" s="3">
        <v>176.02099999999999</v>
      </c>
      <c r="G74" s="3">
        <f>F74-E74</f>
        <v>173.50899999999999</v>
      </c>
      <c r="H74" s="2">
        <f>G74/0.3048</f>
        <v>569.25524934383191</v>
      </c>
      <c r="K74" s="28"/>
      <c r="L74" s="1">
        <v>71</v>
      </c>
      <c r="M74" s="1">
        <f>$L$35</f>
        <v>32</v>
      </c>
    </row>
    <row r="75" spans="1:13" x14ac:dyDescent="0.25">
      <c r="A75" s="1" t="str">
        <f>$A$35</f>
        <v>BSY</v>
      </c>
      <c r="B75" s="1">
        <v>7</v>
      </c>
      <c r="C75" s="1">
        <f>$C$35</f>
        <v>1</v>
      </c>
      <c r="D75" s="1" t="s">
        <v>367</v>
      </c>
      <c r="E75" s="3">
        <v>2.512</v>
      </c>
      <c r="F75" s="3">
        <v>162.65100000000001</v>
      </c>
      <c r="G75" s="3">
        <f>F75-E75</f>
        <v>160.13900000000001</v>
      </c>
      <c r="H75" s="2">
        <f>G75/0.3048</f>
        <v>525.39041994750653</v>
      </c>
      <c r="K75" s="28"/>
      <c r="L75" s="1">
        <v>72</v>
      </c>
      <c r="M75" s="1">
        <f>$L$35</f>
        <v>32</v>
      </c>
    </row>
    <row r="76" spans="1:13" ht="15.75" thickBot="1" x14ac:dyDescent="0.3">
      <c r="A76" s="12" t="str">
        <f>$A$35</f>
        <v>BSY</v>
      </c>
      <c r="B76" s="12">
        <v>9</v>
      </c>
      <c r="C76" s="12">
        <f>$C$35</f>
        <v>1</v>
      </c>
      <c r="D76" s="12" t="s">
        <v>368</v>
      </c>
      <c r="E76" s="13">
        <v>2.512</v>
      </c>
      <c r="F76" s="13">
        <v>130.392</v>
      </c>
      <c r="G76" s="13">
        <f>F76-E76</f>
        <v>127.88</v>
      </c>
      <c r="H76" s="14">
        <f>G76/0.3048</f>
        <v>419.5538057742782</v>
      </c>
      <c r="I76" s="12"/>
      <c r="J76" s="12" t="s">
        <v>373</v>
      </c>
      <c r="K76" s="29"/>
      <c r="L76" s="1">
        <v>73</v>
      </c>
      <c r="M76" s="1">
        <f>$L$35</f>
        <v>32</v>
      </c>
    </row>
    <row r="78" spans="1:13" x14ac:dyDescent="0.25">
      <c r="A78" s="1" t="s">
        <v>312</v>
      </c>
    </row>
    <row r="79" spans="1:13" x14ac:dyDescent="0.25">
      <c r="A79" s="1">
        <v>1</v>
      </c>
      <c r="B79" s="20" t="s">
        <v>315</v>
      </c>
    </row>
  </sheetData>
  <mergeCells count="3">
    <mergeCell ref="K4:K34"/>
    <mergeCell ref="K35:K59"/>
    <mergeCell ref="K62:K76"/>
  </mergeCells>
  <pageMargins left="0.5" right="0.5" top="0.25" bottom="0.25" header="0.3" footer="0.3"/>
  <pageSetup scale="61" orientation="portrait" r:id="rId1"/>
  <ignoredErrors>
    <ignoredError sqref="G62:H62 G7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8"/>
  <sheetViews>
    <sheetView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1" max="1" width="8.28515625" bestFit="1" customWidth="1"/>
    <col min="2" max="2" width="7.5703125" bestFit="1" customWidth="1"/>
    <col min="3" max="3" width="5.140625" bestFit="1" customWidth="1"/>
    <col min="4" max="4" width="28.7109375" bestFit="1" customWidth="1"/>
    <col min="5" max="5" width="11" bestFit="1" customWidth="1"/>
    <col min="6" max="6" width="8.5703125" bestFit="1" customWidth="1"/>
    <col min="7" max="7" width="7.5703125" bestFit="1" customWidth="1"/>
    <col min="8" max="8" width="9.28515625" style="6" bestFit="1" customWidth="1"/>
    <col min="9" max="10" width="17.42578125" style="1" bestFit="1" customWidth="1"/>
    <col min="11" max="11" width="11.42578125" bestFit="1" customWidth="1"/>
    <col min="12" max="12" width="5.5703125" style="1" bestFit="1" customWidth="1"/>
    <col min="13" max="13" width="4.5703125" style="1" bestFit="1" customWidth="1"/>
    <col min="14" max="15" width="7.5703125" style="3" bestFit="1" customWidth="1"/>
    <col min="16" max="16" width="6.5703125" style="3" bestFit="1" customWidth="1"/>
    <col min="17" max="17" width="7.5703125" style="3" bestFit="1" customWidth="1"/>
    <col min="18" max="19" width="6.5703125" style="1" bestFit="1" customWidth="1"/>
    <col min="20" max="20" width="9.140625" style="1"/>
  </cols>
  <sheetData>
    <row r="1" spans="1:12" x14ac:dyDescent="0.25">
      <c r="A1" s="8" t="s">
        <v>24</v>
      </c>
      <c r="B1" s="10">
        <v>101.6</v>
      </c>
      <c r="C1" s="10"/>
      <c r="F1" s="7"/>
      <c r="G1" s="3"/>
      <c r="H1" s="3"/>
    </row>
    <row r="2" spans="1:12" x14ac:dyDescent="0.25">
      <c r="A2" s="1"/>
      <c r="B2" s="1"/>
      <c r="C2" s="1"/>
      <c r="D2" s="1"/>
      <c r="E2" s="5"/>
      <c r="F2" s="7"/>
      <c r="G2" s="3"/>
      <c r="H2" s="3"/>
    </row>
    <row r="3" spans="1:12" ht="18" customHeight="1" thickBot="1" x14ac:dyDescent="0.3">
      <c r="A3" s="12" t="s">
        <v>21</v>
      </c>
      <c r="B3" s="12" t="s">
        <v>108</v>
      </c>
      <c r="C3" s="12" t="s">
        <v>109</v>
      </c>
      <c r="D3" s="12" t="s">
        <v>52</v>
      </c>
      <c r="E3" s="19" t="s">
        <v>22</v>
      </c>
      <c r="F3" s="19" t="s">
        <v>23</v>
      </c>
      <c r="G3" s="13" t="s">
        <v>25</v>
      </c>
      <c r="H3" s="13" t="s">
        <v>26</v>
      </c>
      <c r="I3" s="12" t="s">
        <v>145</v>
      </c>
      <c r="J3" s="12" t="s">
        <v>146</v>
      </c>
      <c r="K3" s="15"/>
    </row>
    <row r="4" spans="1:12" ht="15" customHeight="1" x14ac:dyDescent="0.25">
      <c r="A4" s="1" t="s">
        <v>9</v>
      </c>
      <c r="B4" s="1">
        <v>10</v>
      </c>
      <c r="C4" s="1">
        <v>0</v>
      </c>
      <c r="D4" s="1" t="s">
        <v>381</v>
      </c>
      <c r="E4" s="3">
        <v>2017.911482</v>
      </c>
      <c r="F4" s="3">
        <v>2035.03513</v>
      </c>
      <c r="G4" s="3">
        <f>F4-E4</f>
        <v>17.123648000000003</v>
      </c>
      <c r="H4" s="3">
        <f>G4/0.3048</f>
        <v>56.179947506561689</v>
      </c>
      <c r="I4" s="1" t="s">
        <v>316</v>
      </c>
      <c r="J4" s="1" t="s">
        <v>325</v>
      </c>
      <c r="K4" s="25" t="s">
        <v>28</v>
      </c>
      <c r="L4" s="1">
        <v>1</v>
      </c>
    </row>
    <row r="5" spans="1:12" x14ac:dyDescent="0.25">
      <c r="A5" s="1" t="s">
        <v>10</v>
      </c>
      <c r="B5" s="1">
        <v>10</v>
      </c>
      <c r="C5" s="1">
        <v>0</v>
      </c>
      <c r="D5" s="1" t="s">
        <v>308</v>
      </c>
      <c r="E5" s="3">
        <f>F4</f>
        <v>2035.03513</v>
      </c>
      <c r="F5" s="3">
        <f>21*B1</f>
        <v>2133.6</v>
      </c>
      <c r="G5" s="3">
        <f t="shared" ref="G5:G14" si="0">F5-E5</f>
        <v>98.564869999999928</v>
      </c>
      <c r="H5" s="3">
        <f t="shared" ref="H5:H14" si="1">G5/0.3048</f>
        <v>323.37555774278189</v>
      </c>
      <c r="I5" s="1" t="s">
        <v>313</v>
      </c>
      <c r="J5" s="1" t="s">
        <v>307</v>
      </c>
      <c r="K5" s="25"/>
      <c r="L5" s="1">
        <v>2</v>
      </c>
    </row>
    <row r="6" spans="1:12" x14ac:dyDescent="0.25">
      <c r="A6" s="1" t="s">
        <v>11</v>
      </c>
      <c r="B6" s="1">
        <v>10</v>
      </c>
      <c r="C6" s="1">
        <v>0</v>
      </c>
      <c r="D6" s="1" t="s">
        <v>61</v>
      </c>
      <c r="E6" s="3">
        <f t="shared" ref="E6:E14" si="2">F5</f>
        <v>2133.6</v>
      </c>
      <c r="F6" s="3">
        <f>22*B1</f>
        <v>2235.1999999999998</v>
      </c>
      <c r="G6" s="3">
        <f t="shared" si="0"/>
        <v>101.59999999999991</v>
      </c>
      <c r="H6" s="3">
        <f t="shared" si="1"/>
        <v>333.33333333333303</v>
      </c>
      <c r="I6" s="1" t="s">
        <v>148</v>
      </c>
      <c r="J6" s="1" t="s">
        <v>149</v>
      </c>
      <c r="K6" s="25"/>
      <c r="L6" s="1">
        <v>3</v>
      </c>
    </row>
    <row r="7" spans="1:12" x14ac:dyDescent="0.25">
      <c r="A7" s="1" t="s">
        <v>12</v>
      </c>
      <c r="B7" s="1">
        <v>10</v>
      </c>
      <c r="C7" s="1">
        <v>0</v>
      </c>
      <c r="D7" s="1" t="s">
        <v>61</v>
      </c>
      <c r="E7" s="3">
        <f t="shared" si="2"/>
        <v>2235.1999999999998</v>
      </c>
      <c r="F7" s="3">
        <f>23*B1</f>
        <v>2336.7999999999997</v>
      </c>
      <c r="G7" s="3">
        <f t="shared" si="0"/>
        <v>101.59999999999991</v>
      </c>
      <c r="H7" s="3">
        <f t="shared" si="1"/>
        <v>333.33333333333303</v>
      </c>
      <c r="I7" s="1" t="s">
        <v>150</v>
      </c>
      <c r="J7" s="1" t="s">
        <v>156</v>
      </c>
      <c r="K7" s="25"/>
      <c r="L7" s="1">
        <v>4</v>
      </c>
    </row>
    <row r="8" spans="1:12" x14ac:dyDescent="0.25">
      <c r="A8" s="1" t="s">
        <v>13</v>
      </c>
      <c r="B8" s="1">
        <v>10</v>
      </c>
      <c r="C8" s="1">
        <v>0</v>
      </c>
      <c r="D8" s="1" t="s">
        <v>65</v>
      </c>
      <c r="E8" s="3">
        <f t="shared" si="2"/>
        <v>2336.7999999999997</v>
      </c>
      <c r="F8" s="3">
        <f>24*B1</f>
        <v>2438.3999999999996</v>
      </c>
      <c r="G8" s="3">
        <f t="shared" si="0"/>
        <v>101.59999999999991</v>
      </c>
      <c r="H8" s="3">
        <f t="shared" si="1"/>
        <v>333.33333333333303</v>
      </c>
      <c r="I8" s="1" t="s">
        <v>151</v>
      </c>
      <c r="J8" s="1" t="s">
        <v>314</v>
      </c>
      <c r="K8" s="25"/>
      <c r="L8" s="1">
        <v>5</v>
      </c>
    </row>
    <row r="9" spans="1:12" x14ac:dyDescent="0.25">
      <c r="A9" s="1" t="s">
        <v>14</v>
      </c>
      <c r="B9" s="1">
        <v>10</v>
      </c>
      <c r="C9" s="1">
        <v>0</v>
      </c>
      <c r="D9" s="1" t="s">
        <v>62</v>
      </c>
      <c r="E9" s="3">
        <f t="shared" si="2"/>
        <v>2438.3999999999996</v>
      </c>
      <c r="F9" s="3">
        <f>25*B1</f>
        <v>2540</v>
      </c>
      <c r="G9" s="3">
        <f t="shared" si="0"/>
        <v>101.60000000000036</v>
      </c>
      <c r="H9" s="3">
        <f t="shared" si="1"/>
        <v>333.33333333333451</v>
      </c>
      <c r="I9" s="1" t="s">
        <v>336</v>
      </c>
      <c r="J9" s="1" t="s">
        <v>157</v>
      </c>
      <c r="K9" s="25"/>
      <c r="L9" s="1">
        <v>6</v>
      </c>
    </row>
    <row r="10" spans="1:12" x14ac:dyDescent="0.25">
      <c r="A10" s="1" t="s">
        <v>15</v>
      </c>
      <c r="B10" s="1">
        <v>10</v>
      </c>
      <c r="C10" s="1">
        <v>0</v>
      </c>
      <c r="D10" s="1" t="s">
        <v>62</v>
      </c>
      <c r="E10" s="3">
        <f t="shared" si="2"/>
        <v>2540</v>
      </c>
      <c r="F10" s="3">
        <f>26*B1</f>
        <v>2641.6</v>
      </c>
      <c r="G10" s="3">
        <f t="shared" si="0"/>
        <v>101.59999999999991</v>
      </c>
      <c r="H10" s="3">
        <f t="shared" si="1"/>
        <v>333.33333333333303</v>
      </c>
      <c r="I10" s="1" t="s">
        <v>152</v>
      </c>
      <c r="J10" s="1" t="s">
        <v>158</v>
      </c>
      <c r="K10" s="25"/>
      <c r="L10" s="1">
        <v>7</v>
      </c>
    </row>
    <row r="11" spans="1:12" x14ac:dyDescent="0.25">
      <c r="A11" s="1" t="s">
        <v>16</v>
      </c>
      <c r="B11" s="1">
        <v>10</v>
      </c>
      <c r="C11" s="1">
        <v>0</v>
      </c>
      <c r="D11" s="1" t="s">
        <v>62</v>
      </c>
      <c r="E11" s="3">
        <f t="shared" si="2"/>
        <v>2641.6</v>
      </c>
      <c r="F11" s="3">
        <f>27*B1</f>
        <v>2743.2</v>
      </c>
      <c r="G11" s="3">
        <f t="shared" si="0"/>
        <v>101.59999999999991</v>
      </c>
      <c r="H11" s="3">
        <f t="shared" si="1"/>
        <v>333.33333333333303</v>
      </c>
      <c r="I11" s="1" t="s">
        <v>153</v>
      </c>
      <c r="J11" s="1" t="s">
        <v>159</v>
      </c>
      <c r="K11" s="25"/>
      <c r="L11" s="1">
        <v>8</v>
      </c>
    </row>
    <row r="12" spans="1:12" x14ac:dyDescent="0.25">
      <c r="A12" s="1" t="s">
        <v>17</v>
      </c>
      <c r="B12" s="1">
        <v>10</v>
      </c>
      <c r="C12" s="1">
        <v>0</v>
      </c>
      <c r="D12" s="1" t="s">
        <v>62</v>
      </c>
      <c r="E12" s="3">
        <f t="shared" si="2"/>
        <v>2743.2</v>
      </c>
      <c r="F12" s="3">
        <f>28*B1</f>
        <v>2844.7999999999997</v>
      </c>
      <c r="G12" s="3">
        <f t="shared" si="0"/>
        <v>101.59999999999991</v>
      </c>
      <c r="H12" s="3">
        <f t="shared" si="1"/>
        <v>333.33333333333303</v>
      </c>
      <c r="I12" s="1" t="s">
        <v>154</v>
      </c>
      <c r="J12" s="1" t="s">
        <v>160</v>
      </c>
      <c r="K12" s="25"/>
      <c r="L12" s="1">
        <v>9</v>
      </c>
    </row>
    <row r="13" spans="1:12" x14ac:dyDescent="0.25">
      <c r="A13" s="1" t="s">
        <v>18</v>
      </c>
      <c r="B13" s="1">
        <v>10</v>
      </c>
      <c r="C13" s="1">
        <v>0</v>
      </c>
      <c r="D13" s="1" t="s">
        <v>62</v>
      </c>
      <c r="E13" s="3">
        <f t="shared" si="2"/>
        <v>2844.7999999999997</v>
      </c>
      <c r="F13" s="3">
        <f>29*B1</f>
        <v>2946.3999999999996</v>
      </c>
      <c r="G13" s="3">
        <f t="shared" si="0"/>
        <v>101.59999999999991</v>
      </c>
      <c r="H13" s="3">
        <f t="shared" si="1"/>
        <v>333.33333333333303</v>
      </c>
      <c r="I13" s="1" t="s">
        <v>155</v>
      </c>
      <c r="J13" s="1" t="s">
        <v>161</v>
      </c>
      <c r="K13" s="25"/>
      <c r="L13" s="1">
        <v>10</v>
      </c>
    </row>
    <row r="14" spans="1:12" ht="15.75" thickBot="1" x14ac:dyDescent="0.3">
      <c r="A14" s="12" t="s">
        <v>19</v>
      </c>
      <c r="B14" s="12">
        <v>10</v>
      </c>
      <c r="C14" s="12">
        <v>0</v>
      </c>
      <c r="D14" s="12" t="s">
        <v>66</v>
      </c>
      <c r="E14" s="13">
        <f t="shared" si="2"/>
        <v>2946.3999999999996</v>
      </c>
      <c r="F14" s="13">
        <v>3050.5120000000002</v>
      </c>
      <c r="G14" s="13">
        <f t="shared" si="0"/>
        <v>104.11200000000053</v>
      </c>
      <c r="H14" s="13">
        <f t="shared" si="1"/>
        <v>341.57480314960804</v>
      </c>
      <c r="I14" s="12" t="s">
        <v>309</v>
      </c>
      <c r="J14" s="18" t="s">
        <v>326</v>
      </c>
      <c r="K14" s="26"/>
      <c r="L14" s="1">
        <v>11</v>
      </c>
    </row>
    <row r="15" spans="1:12" ht="15" customHeight="1" x14ac:dyDescent="0.25">
      <c r="A15" s="1" t="s">
        <v>20</v>
      </c>
      <c r="B15" s="1">
        <v>10</v>
      </c>
      <c r="C15" s="1">
        <v>1</v>
      </c>
      <c r="D15" s="1" t="s">
        <v>357</v>
      </c>
      <c r="E15" s="3">
        <v>2.512</v>
      </c>
      <c r="F15" s="3">
        <v>176.02099999999999</v>
      </c>
      <c r="G15" s="3">
        <f t="shared" ref="G15:G27" si="3">F15-E15</f>
        <v>173.50899999999999</v>
      </c>
      <c r="H15" s="3">
        <f t="shared" ref="H15:H27" si="4">G15/0.3048</f>
        <v>569.25524934383191</v>
      </c>
      <c r="I15" s="1" t="s">
        <v>327</v>
      </c>
      <c r="J15" s="1" t="s">
        <v>358</v>
      </c>
      <c r="K15" s="27" t="s">
        <v>379</v>
      </c>
      <c r="L15" s="1">
        <v>12</v>
      </c>
    </row>
    <row r="16" spans="1:12" ht="15" customHeight="1" x14ac:dyDescent="0.25">
      <c r="A16" s="1" t="s">
        <v>68</v>
      </c>
      <c r="B16" s="1">
        <v>10</v>
      </c>
      <c r="C16" s="1">
        <v>1</v>
      </c>
      <c r="D16" s="1" t="s">
        <v>63</v>
      </c>
      <c r="E16" s="3">
        <f>F15</f>
        <v>176.02099999999999</v>
      </c>
      <c r="F16" s="3">
        <v>203.53</v>
      </c>
      <c r="G16" s="3">
        <f t="shared" si="3"/>
        <v>27.509000000000015</v>
      </c>
      <c r="H16" s="3">
        <f t="shared" si="4"/>
        <v>90.252624671916053</v>
      </c>
      <c r="I16" s="1" t="s">
        <v>305</v>
      </c>
      <c r="K16" s="25"/>
      <c r="L16" s="1">
        <v>13</v>
      </c>
    </row>
    <row r="17" spans="1:12" x14ac:dyDescent="0.25">
      <c r="A17" s="1" t="s">
        <v>69</v>
      </c>
      <c r="B17" s="1">
        <v>10</v>
      </c>
      <c r="C17" s="1">
        <v>1</v>
      </c>
      <c r="D17" s="1" t="s">
        <v>63</v>
      </c>
      <c r="E17" s="3">
        <f t="shared" ref="E17:E33" si="5">F16</f>
        <v>203.53</v>
      </c>
      <c r="F17" s="3">
        <v>231.27930000000001</v>
      </c>
      <c r="G17" s="3">
        <f t="shared" si="3"/>
        <v>27.749300000000005</v>
      </c>
      <c r="H17" s="3">
        <f t="shared" si="4"/>
        <v>91.041010498687683</v>
      </c>
      <c r="K17" s="25"/>
      <c r="L17" s="1">
        <v>14</v>
      </c>
    </row>
    <row r="18" spans="1:12" x14ac:dyDescent="0.25">
      <c r="A18" s="1" t="s">
        <v>70</v>
      </c>
      <c r="B18" s="1">
        <v>10</v>
      </c>
      <c r="C18" s="1">
        <v>1</v>
      </c>
      <c r="D18" s="1" t="s">
        <v>63</v>
      </c>
      <c r="E18" s="3">
        <f t="shared" si="5"/>
        <v>231.27930000000001</v>
      </c>
      <c r="F18" s="3">
        <v>260.48</v>
      </c>
      <c r="G18" s="3">
        <f t="shared" si="3"/>
        <v>29.200700000000012</v>
      </c>
      <c r="H18" s="3">
        <f t="shared" si="4"/>
        <v>95.802821522309742</v>
      </c>
      <c r="K18" s="25"/>
      <c r="L18" s="1">
        <v>15</v>
      </c>
    </row>
    <row r="19" spans="1:12" x14ac:dyDescent="0.25">
      <c r="A19" s="1" t="s">
        <v>71</v>
      </c>
      <c r="B19" s="1">
        <v>10</v>
      </c>
      <c r="C19" s="1">
        <v>1</v>
      </c>
      <c r="D19" s="1" t="s">
        <v>63</v>
      </c>
      <c r="E19" s="3">
        <f t="shared" si="5"/>
        <v>260.48</v>
      </c>
      <c r="F19" s="3">
        <v>286.76</v>
      </c>
      <c r="G19" s="3">
        <f t="shared" si="3"/>
        <v>26.279999999999973</v>
      </c>
      <c r="H19" s="3">
        <f t="shared" si="4"/>
        <v>86.220472440944789</v>
      </c>
      <c r="K19" s="25"/>
      <c r="L19" s="1">
        <v>16</v>
      </c>
    </row>
    <row r="20" spans="1:12" x14ac:dyDescent="0.25">
      <c r="A20" s="1" t="s">
        <v>72</v>
      </c>
      <c r="B20" s="1">
        <v>10</v>
      </c>
      <c r="C20" s="1">
        <v>1</v>
      </c>
      <c r="D20" s="1" t="s">
        <v>63</v>
      </c>
      <c r="E20" s="3">
        <f t="shared" si="5"/>
        <v>286.76</v>
      </c>
      <c r="F20" s="3">
        <v>314.52999999999997</v>
      </c>
      <c r="G20" s="3">
        <f t="shared" si="3"/>
        <v>27.769999999999982</v>
      </c>
      <c r="H20" s="3">
        <f t="shared" si="4"/>
        <v>91.108923884514368</v>
      </c>
      <c r="K20" s="25"/>
      <c r="L20" s="1">
        <v>17</v>
      </c>
    </row>
    <row r="21" spans="1:12" x14ac:dyDescent="0.25">
      <c r="A21" s="1" t="s">
        <v>73</v>
      </c>
      <c r="B21" s="1">
        <v>10</v>
      </c>
      <c r="C21" s="1">
        <v>1</v>
      </c>
      <c r="D21" s="1" t="s">
        <v>63</v>
      </c>
      <c r="E21" s="3">
        <f t="shared" si="5"/>
        <v>314.52999999999997</v>
      </c>
      <c r="F21" s="3">
        <v>342.27</v>
      </c>
      <c r="G21" s="3">
        <f t="shared" si="3"/>
        <v>27.740000000000009</v>
      </c>
      <c r="H21" s="3">
        <f t="shared" si="4"/>
        <v>91.010498687664068</v>
      </c>
      <c r="K21" s="25"/>
      <c r="L21" s="1">
        <v>18</v>
      </c>
    </row>
    <row r="22" spans="1:12" x14ac:dyDescent="0.25">
      <c r="A22" s="1" t="s">
        <v>74</v>
      </c>
      <c r="B22" s="1">
        <v>10</v>
      </c>
      <c r="C22" s="1">
        <v>1</v>
      </c>
      <c r="D22" s="1" t="s">
        <v>63</v>
      </c>
      <c r="E22" s="3">
        <f t="shared" si="5"/>
        <v>342.27</v>
      </c>
      <c r="F22" s="3">
        <v>371.42</v>
      </c>
      <c r="G22" s="3">
        <f t="shared" si="3"/>
        <v>29.150000000000034</v>
      </c>
      <c r="H22" s="3">
        <f t="shared" si="4"/>
        <v>95.636482939632657</v>
      </c>
      <c r="K22" s="25"/>
      <c r="L22" s="1">
        <v>19</v>
      </c>
    </row>
    <row r="23" spans="1:12" x14ac:dyDescent="0.25">
      <c r="A23" s="1" t="s">
        <v>75</v>
      </c>
      <c r="B23" s="1">
        <v>10</v>
      </c>
      <c r="C23" s="1">
        <v>1</v>
      </c>
      <c r="D23" s="1" t="s">
        <v>63</v>
      </c>
      <c r="E23" s="3">
        <f t="shared" si="5"/>
        <v>371.42</v>
      </c>
      <c r="F23" s="3">
        <v>397.76</v>
      </c>
      <c r="G23" s="3">
        <f t="shared" si="3"/>
        <v>26.339999999999975</v>
      </c>
      <c r="H23" s="3">
        <f t="shared" si="4"/>
        <v>86.417322834645589</v>
      </c>
      <c r="K23" s="25"/>
      <c r="L23" s="1">
        <v>20</v>
      </c>
    </row>
    <row r="24" spans="1:12" x14ac:dyDescent="0.25">
      <c r="A24" s="1" t="s">
        <v>76</v>
      </c>
      <c r="B24" s="1">
        <v>10</v>
      </c>
      <c r="C24" s="1">
        <v>1</v>
      </c>
      <c r="D24" s="1" t="s">
        <v>63</v>
      </c>
      <c r="E24" s="3">
        <f t="shared" si="5"/>
        <v>397.76</v>
      </c>
      <c r="F24" s="3">
        <v>425.53</v>
      </c>
      <c r="G24" s="3">
        <f t="shared" si="3"/>
        <v>27.769999999999982</v>
      </c>
      <c r="H24" s="3">
        <f t="shared" si="4"/>
        <v>91.108923884514368</v>
      </c>
      <c r="K24" s="25"/>
      <c r="L24" s="1">
        <v>21</v>
      </c>
    </row>
    <row r="25" spans="1:12" x14ac:dyDescent="0.25">
      <c r="A25" s="1" t="s">
        <v>77</v>
      </c>
      <c r="B25" s="1">
        <v>10</v>
      </c>
      <c r="C25" s="1">
        <v>1</v>
      </c>
      <c r="D25" s="1" t="s">
        <v>63</v>
      </c>
      <c r="E25" s="3">
        <f t="shared" si="5"/>
        <v>425.53</v>
      </c>
      <c r="F25" s="3">
        <v>453.28</v>
      </c>
      <c r="G25" s="3">
        <f t="shared" si="3"/>
        <v>27.75</v>
      </c>
      <c r="H25" s="3">
        <f t="shared" si="4"/>
        <v>91.043307086614163</v>
      </c>
      <c r="K25" s="25"/>
      <c r="L25" s="1">
        <v>22</v>
      </c>
    </row>
    <row r="26" spans="1:12" x14ac:dyDescent="0.25">
      <c r="A26" s="1" t="s">
        <v>78</v>
      </c>
      <c r="B26" s="1">
        <v>10</v>
      </c>
      <c r="C26" s="1">
        <v>1</v>
      </c>
      <c r="D26" s="1" t="s">
        <v>63</v>
      </c>
      <c r="E26" s="3">
        <f t="shared" si="5"/>
        <v>453.28</v>
      </c>
      <c r="F26" s="3">
        <v>481.03</v>
      </c>
      <c r="G26" s="3">
        <f t="shared" si="3"/>
        <v>27.75</v>
      </c>
      <c r="H26" s="3">
        <f t="shared" si="4"/>
        <v>91.043307086614163</v>
      </c>
      <c r="K26" s="25"/>
      <c r="L26" s="1">
        <v>23</v>
      </c>
    </row>
    <row r="27" spans="1:12" x14ac:dyDescent="0.25">
      <c r="A27" s="1" t="s">
        <v>79</v>
      </c>
      <c r="B27" s="1">
        <v>10</v>
      </c>
      <c r="C27" s="1">
        <v>1</v>
      </c>
      <c r="D27" s="1" t="s">
        <v>63</v>
      </c>
      <c r="E27" s="3">
        <f t="shared" si="5"/>
        <v>481.03</v>
      </c>
      <c r="F27" s="3">
        <v>514.74000100000001</v>
      </c>
      <c r="G27" s="3">
        <f t="shared" si="3"/>
        <v>33.710001000000034</v>
      </c>
      <c r="H27" s="3">
        <f t="shared" si="4"/>
        <v>110.59711614173239</v>
      </c>
      <c r="J27" s="1" t="s">
        <v>310</v>
      </c>
      <c r="K27" s="25"/>
      <c r="L27" s="1">
        <v>24</v>
      </c>
    </row>
    <row r="28" spans="1:12" x14ac:dyDescent="0.25">
      <c r="A28" s="1" t="s">
        <v>100</v>
      </c>
      <c r="B28" s="1">
        <v>10</v>
      </c>
      <c r="C28" s="1">
        <v>1</v>
      </c>
      <c r="D28" s="1" t="s">
        <v>27</v>
      </c>
      <c r="E28" s="3">
        <f t="shared" si="5"/>
        <v>514.74000100000001</v>
      </c>
      <c r="F28" s="3">
        <v>551.20898499999998</v>
      </c>
      <c r="G28" s="3">
        <f t="shared" ref="G28:G37" si="6">F28-E28</f>
        <v>36.468983999999978</v>
      </c>
      <c r="H28" s="3">
        <f>G28/0.3048</f>
        <v>119.6488976377952</v>
      </c>
      <c r="I28" s="1" t="s">
        <v>329</v>
      </c>
      <c r="K28" s="25"/>
      <c r="L28" s="1">
        <v>25</v>
      </c>
    </row>
    <row r="29" spans="1:12" x14ac:dyDescent="0.25">
      <c r="A29" s="1" t="s">
        <v>101</v>
      </c>
      <c r="B29" s="1">
        <v>10</v>
      </c>
      <c r="C29" s="1">
        <v>1</v>
      </c>
      <c r="D29" s="1" t="s">
        <v>27</v>
      </c>
      <c r="E29" s="3">
        <f t="shared" si="5"/>
        <v>551.20898499999998</v>
      </c>
      <c r="F29" s="3">
        <v>587.32298500000002</v>
      </c>
      <c r="G29" s="3">
        <f t="shared" si="6"/>
        <v>36.114000000000033</v>
      </c>
      <c r="H29" s="3">
        <f>G29/0.3048</f>
        <v>118.48425196850404</v>
      </c>
      <c r="K29" s="25"/>
      <c r="L29" s="1">
        <v>26</v>
      </c>
    </row>
    <row r="30" spans="1:12" x14ac:dyDescent="0.25">
      <c r="A30" s="1" t="s">
        <v>102</v>
      </c>
      <c r="B30" s="1">
        <v>10</v>
      </c>
      <c r="C30" s="1">
        <v>1</v>
      </c>
      <c r="D30" s="1" t="s">
        <v>27</v>
      </c>
      <c r="E30" s="3">
        <f t="shared" si="5"/>
        <v>587.32298500000002</v>
      </c>
      <c r="F30" s="3">
        <v>623.43698500000005</v>
      </c>
      <c r="G30" s="3">
        <f t="shared" si="6"/>
        <v>36.114000000000033</v>
      </c>
      <c r="H30" s="3">
        <f>G30/0.3048</f>
        <v>118.48425196850404</v>
      </c>
      <c r="K30" s="25"/>
      <c r="L30" s="1">
        <v>27</v>
      </c>
    </row>
    <row r="31" spans="1:12" x14ac:dyDescent="0.25">
      <c r="A31" s="1" t="s">
        <v>103</v>
      </c>
      <c r="B31" s="1">
        <v>10</v>
      </c>
      <c r="C31" s="1">
        <v>1</v>
      </c>
      <c r="D31" s="1" t="s">
        <v>27</v>
      </c>
      <c r="E31" s="3">
        <f t="shared" si="5"/>
        <v>623.43698500000005</v>
      </c>
      <c r="F31" s="3">
        <v>670.486493</v>
      </c>
      <c r="G31" s="3">
        <f t="shared" si="6"/>
        <v>47.049507999999946</v>
      </c>
      <c r="H31" s="3">
        <f>G31/0.3048</f>
        <v>154.36190288713891</v>
      </c>
      <c r="J31" s="1" t="s">
        <v>328</v>
      </c>
      <c r="K31" s="25"/>
      <c r="L31" s="1">
        <v>28</v>
      </c>
    </row>
    <row r="32" spans="1:12" x14ac:dyDescent="0.25">
      <c r="A32" s="1" t="s">
        <v>80</v>
      </c>
      <c r="B32" s="1">
        <v>10</v>
      </c>
      <c r="C32" s="1">
        <v>1</v>
      </c>
      <c r="D32" s="1" t="s">
        <v>67</v>
      </c>
      <c r="E32" s="3">
        <f t="shared" si="5"/>
        <v>670.486493</v>
      </c>
      <c r="F32" s="3">
        <v>686.41</v>
      </c>
      <c r="G32" s="3">
        <f t="shared" si="6"/>
        <v>15.923506999999972</v>
      </c>
      <c r="H32" s="3">
        <f t="shared" ref="H32" si="7">G32/0.3048</f>
        <v>52.24247703412064</v>
      </c>
      <c r="I32" s="1" t="s">
        <v>330</v>
      </c>
      <c r="J32" s="1" t="s">
        <v>331</v>
      </c>
      <c r="K32" s="25"/>
      <c r="L32" s="1">
        <v>29</v>
      </c>
    </row>
    <row r="33" spans="1:13" x14ac:dyDescent="0.25">
      <c r="A33" s="1" t="s">
        <v>81</v>
      </c>
      <c r="B33" s="1">
        <v>10</v>
      </c>
      <c r="C33" s="1">
        <v>1</v>
      </c>
      <c r="D33" s="1" t="s">
        <v>64</v>
      </c>
      <c r="E33" s="3">
        <f t="shared" si="5"/>
        <v>686.41</v>
      </c>
      <c r="F33" s="3">
        <v>717.47500000000002</v>
      </c>
      <c r="G33" s="3">
        <f t="shared" si="6"/>
        <v>31.065000000000055</v>
      </c>
      <c r="H33" s="3">
        <f>G33/0.3048</f>
        <v>101.91929133858285</v>
      </c>
      <c r="I33" s="1" t="s">
        <v>332</v>
      </c>
      <c r="J33" s="1" t="s">
        <v>333</v>
      </c>
      <c r="K33" s="25"/>
      <c r="L33" s="1">
        <v>30</v>
      </c>
    </row>
    <row r="34" spans="1:13" x14ac:dyDescent="0.25">
      <c r="A34" s="1" t="s">
        <v>104</v>
      </c>
      <c r="B34" s="1">
        <v>11</v>
      </c>
      <c r="C34" s="1">
        <v>1</v>
      </c>
      <c r="D34" s="1" t="s">
        <v>105</v>
      </c>
      <c r="E34" s="3">
        <v>686.41033100000004</v>
      </c>
      <c r="F34" s="3">
        <v>714.07620099999997</v>
      </c>
      <c r="G34" s="3">
        <f t="shared" si="6"/>
        <v>27.665869999999927</v>
      </c>
      <c r="H34" s="3">
        <f t="shared" ref="H34" si="8">G34/0.3048</f>
        <v>90.767290026246471</v>
      </c>
      <c r="I34" s="1" t="s">
        <v>334</v>
      </c>
      <c r="J34" s="1" t="s">
        <v>335</v>
      </c>
      <c r="K34" s="25"/>
      <c r="L34" s="1">
        <v>31</v>
      </c>
    </row>
    <row r="35" spans="1:13" x14ac:dyDescent="0.25">
      <c r="A35" s="1" t="s">
        <v>107</v>
      </c>
      <c r="B35" s="1">
        <v>12</v>
      </c>
      <c r="C35" s="1">
        <v>1</v>
      </c>
      <c r="D35" s="1" t="s">
        <v>106</v>
      </c>
      <c r="E35" s="3">
        <v>700.52800000000002</v>
      </c>
      <c r="F35" s="3">
        <v>759.06192899999996</v>
      </c>
      <c r="G35" s="3">
        <f t="shared" ref="G35" si="9">F35-E35</f>
        <v>58.533928999999944</v>
      </c>
      <c r="H35" s="3">
        <f t="shared" ref="H35" si="10">G35/0.3048</f>
        <v>192.04044947506543</v>
      </c>
      <c r="I35" s="1" t="s">
        <v>337</v>
      </c>
      <c r="J35" s="17" t="s">
        <v>338</v>
      </c>
      <c r="K35" s="25"/>
      <c r="L35" s="1">
        <v>32</v>
      </c>
    </row>
    <row r="36" spans="1:13" ht="15.75" thickBot="1" x14ac:dyDescent="0.3">
      <c r="A36" s="12" t="s">
        <v>107</v>
      </c>
      <c r="B36" s="12">
        <v>13</v>
      </c>
      <c r="C36" s="12">
        <v>1</v>
      </c>
      <c r="D36" s="12" t="s">
        <v>339</v>
      </c>
      <c r="E36" s="13">
        <v>739.999999</v>
      </c>
      <c r="F36" s="13">
        <v>758.36086899999998</v>
      </c>
      <c r="G36" s="13">
        <f t="shared" si="6"/>
        <v>18.360869999999977</v>
      </c>
      <c r="H36" s="13">
        <f t="shared" ref="H36:H37" si="11">G36/0.3048</f>
        <v>60.239074803149528</v>
      </c>
      <c r="I36" s="12" t="s">
        <v>340</v>
      </c>
      <c r="J36" s="18" t="s">
        <v>341</v>
      </c>
      <c r="K36" s="26"/>
      <c r="L36" s="1">
        <v>33</v>
      </c>
    </row>
    <row r="37" spans="1:13" x14ac:dyDescent="0.25">
      <c r="A37" s="1" t="s">
        <v>20</v>
      </c>
      <c r="B37" s="1">
        <v>14</v>
      </c>
      <c r="C37" s="1">
        <v>1</v>
      </c>
      <c r="D37" s="1" t="s">
        <v>378</v>
      </c>
      <c r="E37" s="3">
        <v>10.456</v>
      </c>
      <c r="F37" s="3">
        <v>129.65199999999999</v>
      </c>
      <c r="G37" s="3">
        <f t="shared" si="6"/>
        <v>119.19599999999998</v>
      </c>
      <c r="H37" s="3">
        <f t="shared" si="11"/>
        <v>391.06299212598418</v>
      </c>
      <c r="I37" s="1" t="s">
        <v>376</v>
      </c>
      <c r="J37" s="1" t="s">
        <v>377</v>
      </c>
      <c r="K37" s="27" t="s">
        <v>364</v>
      </c>
      <c r="L37" s="1">
        <v>34</v>
      </c>
      <c r="M37" s="1">
        <v>12</v>
      </c>
    </row>
    <row r="38" spans="1:13" x14ac:dyDescent="0.25">
      <c r="A38" s="1" t="s">
        <v>9</v>
      </c>
      <c r="B38" s="1">
        <v>15</v>
      </c>
      <c r="C38" s="1">
        <v>0</v>
      </c>
      <c r="D38" s="1" t="s">
        <v>383</v>
      </c>
      <c r="E38" s="3">
        <v>2018.712</v>
      </c>
      <c r="F38" s="3">
        <v>2018.4469999999999</v>
      </c>
      <c r="G38" s="3">
        <f>E38-F38</f>
        <v>0.26500000000010004</v>
      </c>
      <c r="H38" s="3">
        <f>G38/0.3048</f>
        <v>0.86942257217880592</v>
      </c>
      <c r="I38" s="1" t="s">
        <v>384</v>
      </c>
      <c r="J38" s="1" t="s">
        <v>380</v>
      </c>
      <c r="K38" s="25"/>
      <c r="L38" s="1">
        <v>35</v>
      </c>
      <c r="M38" s="1">
        <v>1</v>
      </c>
    </row>
    <row r="39" spans="1:13" ht="15.75" thickBot="1" x14ac:dyDescent="0.3">
      <c r="A39" s="12" t="s">
        <v>10</v>
      </c>
      <c r="B39" s="12">
        <v>16</v>
      </c>
      <c r="C39" s="12">
        <v>0</v>
      </c>
      <c r="D39" s="12" t="s">
        <v>382</v>
      </c>
      <c r="E39" s="13">
        <v>2031.991</v>
      </c>
      <c r="F39" s="13">
        <v>2036.7750000000001</v>
      </c>
      <c r="G39" s="13">
        <f>F39-E39</f>
        <v>4.7840000000001055</v>
      </c>
      <c r="H39" s="13">
        <f t="shared" ref="H39" si="12">G39/0.3048</f>
        <v>15.695538057743127</v>
      </c>
      <c r="I39" s="12" t="s">
        <v>385</v>
      </c>
      <c r="J39" s="12" t="s">
        <v>386</v>
      </c>
      <c r="K39" s="26"/>
      <c r="L39" s="1">
        <v>36</v>
      </c>
      <c r="M39" s="1">
        <v>2</v>
      </c>
    </row>
    <row r="40" spans="1:13" x14ac:dyDescent="0.25">
      <c r="K40" s="11"/>
    </row>
    <row r="41" spans="1:13" x14ac:dyDescent="0.25">
      <c r="A41" s="1" t="s">
        <v>312</v>
      </c>
      <c r="B41" s="1"/>
      <c r="K41" s="11"/>
    </row>
    <row r="42" spans="1:13" x14ac:dyDescent="0.25">
      <c r="A42" s="1">
        <v>1</v>
      </c>
      <c r="B42" s="20" t="s">
        <v>315</v>
      </c>
      <c r="K42" s="11"/>
    </row>
    <row r="43" spans="1:13" x14ac:dyDescent="0.25">
      <c r="K43" s="11"/>
    </row>
    <row r="44" spans="1:13" x14ac:dyDescent="0.25">
      <c r="K44" s="11"/>
    </row>
    <row r="45" spans="1:13" x14ac:dyDescent="0.25">
      <c r="K45" s="11"/>
    </row>
    <row r="46" spans="1:13" x14ac:dyDescent="0.25">
      <c r="K46" s="11"/>
    </row>
    <row r="47" spans="1:13" x14ac:dyDescent="0.25">
      <c r="K47" s="11"/>
    </row>
    <row r="48" spans="1:13" x14ac:dyDescent="0.25">
      <c r="K48" s="11"/>
    </row>
    <row r="49" spans="11:11" x14ac:dyDescent="0.25">
      <c r="K49" s="11"/>
    </row>
    <row r="50" spans="11:11" x14ac:dyDescent="0.25">
      <c r="K50" s="11"/>
    </row>
    <row r="51" spans="11:11" x14ac:dyDescent="0.25">
      <c r="K51" s="11"/>
    </row>
    <row r="52" spans="11:11" x14ac:dyDescent="0.25">
      <c r="K52" s="11"/>
    </row>
    <row r="53" spans="11:11" x14ac:dyDescent="0.25">
      <c r="K53" s="11"/>
    </row>
    <row r="54" spans="11:11" x14ac:dyDescent="0.25">
      <c r="K54" s="11"/>
    </row>
    <row r="55" spans="11:11" x14ac:dyDescent="0.25">
      <c r="K55" s="11"/>
    </row>
    <row r="56" spans="11:11" x14ac:dyDescent="0.25">
      <c r="K56" s="11"/>
    </row>
    <row r="57" spans="11:11" x14ac:dyDescent="0.25">
      <c r="K57" s="11"/>
    </row>
    <row r="58" spans="11:11" x14ac:dyDescent="0.25">
      <c r="K58" s="11"/>
    </row>
  </sheetData>
  <mergeCells count="3">
    <mergeCell ref="K4:K14"/>
    <mergeCell ref="K15:K36"/>
    <mergeCell ref="K37:K39"/>
  </mergeCells>
  <pageMargins left="0.5" right="0.5" top="0.25" bottom="0.25" header="0.3" footer="0.3"/>
  <pageSetup scale="60" orientation="portrait" r:id="rId1"/>
  <ignoredErrors>
    <ignoredError sqref="G3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workbookViewId="0"/>
  </sheetViews>
  <sheetFormatPr defaultRowHeight="15" x14ac:dyDescent="0.25"/>
  <cols>
    <col min="1" max="1" width="13.85546875" style="1" bestFit="1" customWidth="1"/>
    <col min="2" max="2" width="9.140625" style="1"/>
    <col min="3" max="3" width="10.28515625" style="1" bestFit="1" customWidth="1"/>
    <col min="4" max="5" width="10.5703125" style="3" bestFit="1" customWidth="1"/>
    <col min="6" max="6" width="9.140625" style="3"/>
    <col min="7" max="7" width="9.140625" style="2"/>
    <col min="8" max="8" width="17.7109375" style="1" customWidth="1"/>
  </cols>
  <sheetData>
    <row r="1" spans="1:9" ht="15.75" thickBot="1" x14ac:dyDescent="0.3">
      <c r="A1" s="12" t="s">
        <v>227</v>
      </c>
      <c r="B1" s="12" t="s">
        <v>108</v>
      </c>
      <c r="C1" s="12" t="s">
        <v>52</v>
      </c>
      <c r="D1" s="13" t="s">
        <v>22</v>
      </c>
      <c r="E1" s="13" t="s">
        <v>23</v>
      </c>
      <c r="F1" s="13" t="s">
        <v>25</v>
      </c>
      <c r="G1" s="14" t="s">
        <v>26</v>
      </c>
      <c r="H1" s="3" t="s">
        <v>362</v>
      </c>
      <c r="I1" s="3" t="s">
        <v>360</v>
      </c>
    </row>
    <row r="2" spans="1:9" x14ac:dyDescent="0.25">
      <c r="A2" s="1" t="s">
        <v>266</v>
      </c>
      <c r="B2" s="1">
        <v>1</v>
      </c>
      <c r="C2" s="1" t="s">
        <v>400</v>
      </c>
      <c r="D2" s="3">
        <v>517.54</v>
      </c>
      <c r="E2" s="3">
        <v>519.986492</v>
      </c>
      <c r="F2" s="3">
        <f>E2-D2</f>
        <v>2.4464920000000347</v>
      </c>
      <c r="G2" s="2">
        <f>F2/0.3048</f>
        <v>8.0265485564305603</v>
      </c>
      <c r="I2" t="s">
        <v>359</v>
      </c>
    </row>
    <row r="3" spans="1:9" x14ac:dyDescent="0.25">
      <c r="A3" s="1" t="s">
        <v>267</v>
      </c>
      <c r="B3" s="1">
        <v>1</v>
      </c>
      <c r="C3" s="1" t="s">
        <v>401</v>
      </c>
      <c r="D3" s="3">
        <v>519.986492</v>
      </c>
      <c r="E3" s="3">
        <v>524.38649199999998</v>
      </c>
      <c r="F3" s="3">
        <f t="shared" ref="F3:F36" si="0">E3-D3</f>
        <v>4.3999999999999773</v>
      </c>
      <c r="G3" s="2">
        <f t="shared" ref="G3:G36" si="1">F3/0.3048</f>
        <v>14.435695538057667</v>
      </c>
      <c r="H3" s="1" t="s">
        <v>187</v>
      </c>
    </row>
    <row r="4" spans="1:9" x14ac:dyDescent="0.25">
      <c r="A4" s="1" t="s">
        <v>268</v>
      </c>
      <c r="B4" s="1">
        <v>1</v>
      </c>
      <c r="C4" s="1" t="s">
        <v>402</v>
      </c>
      <c r="D4" s="3">
        <v>524.38649199999998</v>
      </c>
      <c r="E4" s="3">
        <v>528.78649199999995</v>
      </c>
      <c r="F4" s="3">
        <f t="shared" si="0"/>
        <v>4.3999999999999773</v>
      </c>
      <c r="G4" s="2">
        <f t="shared" si="1"/>
        <v>14.435695538057667</v>
      </c>
      <c r="H4" s="1" t="s">
        <v>187</v>
      </c>
    </row>
    <row r="5" spans="1:9" x14ac:dyDescent="0.25">
      <c r="A5" s="1" t="s">
        <v>269</v>
      </c>
      <c r="B5" s="1">
        <v>1</v>
      </c>
      <c r="C5" s="1" t="s">
        <v>403</v>
      </c>
      <c r="D5" s="3">
        <v>528.78649199999995</v>
      </c>
      <c r="E5" s="3">
        <v>533.18649200000004</v>
      </c>
      <c r="F5" s="3">
        <f t="shared" si="0"/>
        <v>4.4000000000000909</v>
      </c>
      <c r="G5" s="2">
        <f t="shared" si="1"/>
        <v>14.43569553805804</v>
      </c>
      <c r="H5" s="1" t="s">
        <v>187</v>
      </c>
    </row>
    <row r="6" spans="1:9" x14ac:dyDescent="0.25">
      <c r="A6" s="1" t="s">
        <v>270</v>
      </c>
      <c r="B6" s="1">
        <v>1</v>
      </c>
      <c r="C6" s="1" t="s">
        <v>404</v>
      </c>
      <c r="D6" s="3">
        <v>533.18649200000004</v>
      </c>
      <c r="E6" s="3">
        <v>537.58649200000002</v>
      </c>
      <c r="F6" s="3">
        <f t="shared" si="0"/>
        <v>4.3999999999999773</v>
      </c>
      <c r="G6" s="2">
        <f t="shared" si="1"/>
        <v>14.435695538057667</v>
      </c>
      <c r="H6" s="1" t="s">
        <v>187</v>
      </c>
    </row>
    <row r="7" spans="1:9" x14ac:dyDescent="0.25">
      <c r="A7" s="1" t="s">
        <v>271</v>
      </c>
      <c r="B7" s="1">
        <v>1</v>
      </c>
      <c r="C7" s="1" t="s">
        <v>405</v>
      </c>
      <c r="D7" s="3">
        <v>537.58649200000002</v>
      </c>
      <c r="E7" s="3">
        <v>541.986492</v>
      </c>
      <c r="F7" s="3">
        <f t="shared" si="0"/>
        <v>4.3999999999999773</v>
      </c>
      <c r="G7" s="2">
        <f t="shared" si="1"/>
        <v>14.435695538057667</v>
      </c>
      <c r="H7" s="1" t="s">
        <v>187</v>
      </c>
    </row>
    <row r="8" spans="1:9" x14ac:dyDescent="0.25">
      <c r="A8" s="1" t="s">
        <v>279</v>
      </c>
      <c r="B8" s="1">
        <v>1</v>
      </c>
      <c r="C8" s="1" t="s">
        <v>406</v>
      </c>
      <c r="D8" s="3">
        <v>541.986492</v>
      </c>
      <c r="E8" s="3">
        <v>546.38649199999998</v>
      </c>
      <c r="F8" s="3">
        <f t="shared" si="0"/>
        <v>4.3999999999999773</v>
      </c>
      <c r="G8" s="2">
        <f t="shared" si="1"/>
        <v>14.435695538057667</v>
      </c>
      <c r="H8" s="1" t="s">
        <v>187</v>
      </c>
    </row>
    <row r="9" spans="1:9" x14ac:dyDescent="0.25">
      <c r="A9" s="1" t="s">
        <v>272</v>
      </c>
      <c r="B9" s="1">
        <v>1</v>
      </c>
      <c r="C9" s="1" t="s">
        <v>407</v>
      </c>
      <c r="D9" s="3">
        <v>546.38649199999998</v>
      </c>
      <c r="E9" s="3">
        <v>550.78649199999995</v>
      </c>
      <c r="F9" s="3">
        <f t="shared" si="0"/>
        <v>4.3999999999999773</v>
      </c>
      <c r="G9" s="2">
        <f t="shared" si="1"/>
        <v>14.435695538057667</v>
      </c>
      <c r="H9" s="1" t="s">
        <v>187</v>
      </c>
    </row>
    <row r="10" spans="1:9" x14ac:dyDescent="0.25">
      <c r="A10" s="1" t="s">
        <v>273</v>
      </c>
      <c r="B10" s="1">
        <v>1</v>
      </c>
      <c r="C10" s="1" t="s">
        <v>408</v>
      </c>
      <c r="D10" s="3">
        <v>550.78649199999995</v>
      </c>
      <c r="E10" s="3">
        <v>555.18649200000004</v>
      </c>
      <c r="F10" s="3">
        <f t="shared" si="0"/>
        <v>4.4000000000000909</v>
      </c>
      <c r="G10" s="2">
        <f t="shared" si="1"/>
        <v>14.43569553805804</v>
      </c>
      <c r="H10" s="1" t="s">
        <v>187</v>
      </c>
    </row>
    <row r="11" spans="1:9" x14ac:dyDescent="0.25">
      <c r="A11" s="1" t="s">
        <v>274</v>
      </c>
      <c r="B11" s="1">
        <v>1</v>
      </c>
      <c r="C11" s="1" t="s">
        <v>409</v>
      </c>
      <c r="D11" s="3">
        <v>555.18649200000004</v>
      </c>
      <c r="E11" s="3">
        <v>559.58649200000002</v>
      </c>
      <c r="F11" s="3">
        <f t="shared" si="0"/>
        <v>4.3999999999999773</v>
      </c>
      <c r="G11" s="2">
        <f t="shared" si="1"/>
        <v>14.435695538057667</v>
      </c>
      <c r="H11" s="1" t="s">
        <v>187</v>
      </c>
    </row>
    <row r="12" spans="1:9" x14ac:dyDescent="0.25">
      <c r="A12" s="1" t="s">
        <v>275</v>
      </c>
      <c r="B12" s="1">
        <v>1</v>
      </c>
      <c r="C12" s="1" t="s">
        <v>162</v>
      </c>
      <c r="D12" s="3">
        <v>559.58649200000002</v>
      </c>
      <c r="E12" s="3">
        <v>563.986492</v>
      </c>
      <c r="F12" s="3">
        <f t="shared" si="0"/>
        <v>4.3999999999999773</v>
      </c>
      <c r="G12" s="2">
        <f t="shared" si="1"/>
        <v>14.435695538057667</v>
      </c>
      <c r="H12" s="1" t="s">
        <v>187</v>
      </c>
    </row>
    <row r="13" spans="1:9" x14ac:dyDescent="0.25">
      <c r="A13" s="1" t="s">
        <v>276</v>
      </c>
      <c r="B13" s="1">
        <v>1</v>
      </c>
      <c r="C13" s="1" t="s">
        <v>163</v>
      </c>
      <c r="D13" s="3">
        <v>563.986492</v>
      </c>
      <c r="E13" s="3">
        <v>568.38649199999998</v>
      </c>
      <c r="F13" s="3">
        <f t="shared" si="0"/>
        <v>4.3999999999999773</v>
      </c>
      <c r="G13" s="2">
        <f t="shared" si="1"/>
        <v>14.435695538057667</v>
      </c>
      <c r="H13" s="1" t="s">
        <v>187</v>
      </c>
    </row>
    <row r="14" spans="1:9" x14ac:dyDescent="0.25">
      <c r="A14" s="1" t="s">
        <v>277</v>
      </c>
      <c r="B14" s="1">
        <v>1</v>
      </c>
      <c r="C14" s="1" t="s">
        <v>164</v>
      </c>
      <c r="D14" s="3">
        <v>568.38649199999998</v>
      </c>
      <c r="E14" s="3">
        <v>572.78649199999995</v>
      </c>
      <c r="F14" s="3">
        <f t="shared" si="0"/>
        <v>4.3999999999999773</v>
      </c>
      <c r="G14" s="2">
        <f t="shared" si="1"/>
        <v>14.435695538057667</v>
      </c>
      <c r="H14" s="1" t="s">
        <v>187</v>
      </c>
    </row>
    <row r="15" spans="1:9" x14ac:dyDescent="0.25">
      <c r="A15" s="1" t="s">
        <v>278</v>
      </c>
      <c r="B15" s="1">
        <v>1</v>
      </c>
      <c r="C15" s="1" t="s">
        <v>165</v>
      </c>
      <c r="D15" s="3">
        <v>572.78649199999995</v>
      </c>
      <c r="E15" s="3">
        <v>577.18649200000004</v>
      </c>
      <c r="F15" s="3">
        <f t="shared" si="0"/>
        <v>4.4000000000000909</v>
      </c>
      <c r="G15" s="2">
        <f t="shared" si="1"/>
        <v>14.43569553805804</v>
      </c>
      <c r="H15" s="1" t="s">
        <v>187</v>
      </c>
    </row>
    <row r="16" spans="1:9" x14ac:dyDescent="0.25">
      <c r="A16" s="1" t="s">
        <v>280</v>
      </c>
      <c r="B16" s="1">
        <v>1</v>
      </c>
      <c r="C16" s="1" t="s">
        <v>166</v>
      </c>
      <c r="D16" s="3">
        <v>577.18649200000004</v>
      </c>
      <c r="E16" s="3">
        <v>581.58649200000002</v>
      </c>
      <c r="F16" s="3">
        <f t="shared" si="0"/>
        <v>4.3999999999999773</v>
      </c>
      <c r="G16" s="2">
        <f t="shared" si="1"/>
        <v>14.435695538057667</v>
      </c>
      <c r="H16" s="1" t="s">
        <v>187</v>
      </c>
    </row>
    <row r="17" spans="1:8" x14ac:dyDescent="0.25">
      <c r="A17" s="1" t="s">
        <v>281</v>
      </c>
      <c r="B17" s="1">
        <v>1</v>
      </c>
      <c r="C17" s="1" t="s">
        <v>167</v>
      </c>
      <c r="D17" s="3">
        <v>581.58649200000002</v>
      </c>
      <c r="E17" s="3">
        <v>585.986492</v>
      </c>
      <c r="F17" s="3">
        <f t="shared" si="0"/>
        <v>4.3999999999999773</v>
      </c>
      <c r="G17" s="2">
        <f t="shared" si="1"/>
        <v>14.435695538057667</v>
      </c>
      <c r="H17" s="1" t="s">
        <v>187</v>
      </c>
    </row>
    <row r="18" spans="1:8" x14ac:dyDescent="0.25">
      <c r="A18" s="1" t="s">
        <v>282</v>
      </c>
      <c r="B18" s="1">
        <v>1</v>
      </c>
      <c r="C18" s="1" t="s">
        <v>168</v>
      </c>
      <c r="D18" s="3">
        <v>585.986492</v>
      </c>
      <c r="E18" s="3">
        <v>590.38649199999998</v>
      </c>
      <c r="F18" s="3">
        <f t="shared" si="0"/>
        <v>4.3999999999999773</v>
      </c>
      <c r="G18" s="2">
        <f t="shared" si="1"/>
        <v>14.435695538057667</v>
      </c>
      <c r="H18" s="1" t="s">
        <v>187</v>
      </c>
    </row>
    <row r="19" spans="1:8" x14ac:dyDescent="0.25">
      <c r="A19" s="1" t="s">
        <v>289</v>
      </c>
      <c r="B19" s="1">
        <v>1</v>
      </c>
      <c r="C19" s="1" t="s">
        <v>169</v>
      </c>
      <c r="D19" s="3">
        <v>590.38649199999998</v>
      </c>
      <c r="E19" s="3">
        <v>594.78649199999995</v>
      </c>
      <c r="F19" s="3">
        <f t="shared" si="0"/>
        <v>4.3999999999999773</v>
      </c>
      <c r="G19" s="2">
        <f t="shared" si="1"/>
        <v>14.435695538057667</v>
      </c>
      <c r="H19" s="1" t="s">
        <v>187</v>
      </c>
    </row>
    <row r="20" spans="1:8" x14ac:dyDescent="0.25">
      <c r="A20" s="1" t="s">
        <v>283</v>
      </c>
      <c r="B20" s="1">
        <v>1</v>
      </c>
      <c r="C20" s="1" t="s">
        <v>170</v>
      </c>
      <c r="D20" s="3">
        <v>594.78649199999995</v>
      </c>
      <c r="E20" s="3">
        <v>599.18649200000004</v>
      </c>
      <c r="F20" s="3">
        <f t="shared" si="0"/>
        <v>4.4000000000000909</v>
      </c>
      <c r="G20" s="2">
        <f t="shared" si="1"/>
        <v>14.43569553805804</v>
      </c>
      <c r="H20" s="1" t="s">
        <v>187</v>
      </c>
    </row>
    <row r="21" spans="1:8" x14ac:dyDescent="0.25">
      <c r="A21" s="1" t="s">
        <v>284</v>
      </c>
      <c r="B21" s="1">
        <v>1</v>
      </c>
      <c r="C21" s="1" t="s">
        <v>171</v>
      </c>
      <c r="D21" s="3">
        <v>599.18649200000004</v>
      </c>
      <c r="E21" s="3">
        <v>603.58649200000002</v>
      </c>
      <c r="F21" s="3">
        <f t="shared" si="0"/>
        <v>4.3999999999999773</v>
      </c>
      <c r="G21" s="2">
        <f t="shared" si="1"/>
        <v>14.435695538057667</v>
      </c>
      <c r="H21" s="1" t="s">
        <v>353</v>
      </c>
    </row>
    <row r="22" spans="1:8" x14ac:dyDescent="0.25">
      <c r="A22" s="1" t="s">
        <v>285</v>
      </c>
      <c r="B22" s="1">
        <v>1</v>
      </c>
      <c r="C22" s="1" t="s">
        <v>172</v>
      </c>
      <c r="D22" s="3">
        <v>603.58649200000002</v>
      </c>
      <c r="E22" s="3">
        <v>607.986492</v>
      </c>
      <c r="F22" s="3">
        <f t="shared" si="0"/>
        <v>4.3999999999999773</v>
      </c>
      <c r="G22" s="2">
        <f t="shared" si="1"/>
        <v>14.435695538057667</v>
      </c>
      <c r="H22" s="1" t="s">
        <v>187</v>
      </c>
    </row>
    <row r="23" spans="1:8" x14ac:dyDescent="0.25">
      <c r="A23" s="1" t="s">
        <v>286</v>
      </c>
      <c r="B23" s="1">
        <v>1</v>
      </c>
      <c r="C23" s="1" t="s">
        <v>173</v>
      </c>
      <c r="D23" s="3">
        <v>607.986492</v>
      </c>
      <c r="E23" s="3">
        <v>612.38649199999998</v>
      </c>
      <c r="F23" s="3">
        <f t="shared" si="0"/>
        <v>4.3999999999999773</v>
      </c>
      <c r="G23" s="2">
        <f t="shared" si="1"/>
        <v>14.435695538057667</v>
      </c>
      <c r="H23" s="1" t="s">
        <v>187</v>
      </c>
    </row>
    <row r="24" spans="1:8" x14ac:dyDescent="0.25">
      <c r="A24" s="1" t="s">
        <v>287</v>
      </c>
      <c r="B24" s="1">
        <v>1</v>
      </c>
      <c r="C24" s="1" t="s">
        <v>174</v>
      </c>
      <c r="D24" s="3">
        <v>612.38649199999998</v>
      </c>
      <c r="E24" s="3">
        <v>616.78649199999995</v>
      </c>
      <c r="F24" s="3">
        <f t="shared" si="0"/>
        <v>4.3999999999999773</v>
      </c>
      <c r="G24" s="2">
        <f t="shared" si="1"/>
        <v>14.435695538057667</v>
      </c>
      <c r="H24" s="1" t="s">
        <v>187</v>
      </c>
    </row>
    <row r="25" spans="1:8" x14ac:dyDescent="0.25">
      <c r="A25" s="1" t="s">
        <v>288</v>
      </c>
      <c r="B25" s="1">
        <v>1</v>
      </c>
      <c r="C25" s="1" t="s">
        <v>175</v>
      </c>
      <c r="D25" s="3">
        <v>616.78649199999995</v>
      </c>
      <c r="E25" s="3">
        <v>621.18649200000004</v>
      </c>
      <c r="F25" s="3">
        <f t="shared" si="0"/>
        <v>4.4000000000000909</v>
      </c>
      <c r="G25" s="2">
        <f t="shared" si="1"/>
        <v>14.43569553805804</v>
      </c>
      <c r="H25" s="1" t="s">
        <v>187</v>
      </c>
    </row>
    <row r="26" spans="1:8" x14ac:dyDescent="0.25">
      <c r="A26" s="1" t="s">
        <v>290</v>
      </c>
      <c r="B26" s="1">
        <v>1</v>
      </c>
      <c r="C26" s="1" t="s">
        <v>176</v>
      </c>
      <c r="D26" s="3">
        <v>621.18649200000004</v>
      </c>
      <c r="E26" s="3">
        <v>625.58649200000002</v>
      </c>
      <c r="F26" s="3">
        <f t="shared" si="0"/>
        <v>4.3999999999999773</v>
      </c>
      <c r="G26" s="2">
        <f t="shared" si="1"/>
        <v>14.435695538057667</v>
      </c>
      <c r="H26" s="1" t="s">
        <v>187</v>
      </c>
    </row>
    <row r="27" spans="1:8" x14ac:dyDescent="0.25">
      <c r="A27" s="1" t="s">
        <v>291</v>
      </c>
      <c r="B27" s="1">
        <v>1</v>
      </c>
      <c r="C27" s="1" t="s">
        <v>177</v>
      </c>
      <c r="D27" s="3">
        <v>625.58649200000002</v>
      </c>
      <c r="E27" s="3">
        <v>629.986492</v>
      </c>
      <c r="F27" s="3">
        <f t="shared" si="0"/>
        <v>4.3999999999999773</v>
      </c>
      <c r="G27" s="2">
        <f t="shared" si="1"/>
        <v>14.435695538057667</v>
      </c>
      <c r="H27" s="1" t="s">
        <v>187</v>
      </c>
    </row>
    <row r="28" spans="1:8" x14ac:dyDescent="0.25">
      <c r="A28" s="1" t="s">
        <v>292</v>
      </c>
      <c r="B28" s="1">
        <v>1</v>
      </c>
      <c r="C28" s="1" t="s">
        <v>178</v>
      </c>
      <c r="D28" s="3">
        <v>629.986492</v>
      </c>
      <c r="E28" s="3">
        <v>634.38649199999998</v>
      </c>
      <c r="F28" s="3">
        <f t="shared" si="0"/>
        <v>4.3999999999999773</v>
      </c>
      <c r="G28" s="2">
        <f t="shared" si="1"/>
        <v>14.435695538057667</v>
      </c>
      <c r="H28" s="1" t="s">
        <v>187</v>
      </c>
    </row>
    <row r="29" spans="1:8" x14ac:dyDescent="0.25">
      <c r="A29" s="1" t="s">
        <v>293</v>
      </c>
      <c r="B29" s="1">
        <v>1</v>
      </c>
      <c r="C29" s="1" t="s">
        <v>179</v>
      </c>
      <c r="D29" s="3">
        <v>634.38649199999998</v>
      </c>
      <c r="E29" s="3">
        <v>638.78649199999995</v>
      </c>
      <c r="F29" s="3">
        <f t="shared" si="0"/>
        <v>4.3999999999999773</v>
      </c>
      <c r="G29" s="2">
        <f t="shared" si="1"/>
        <v>14.435695538057667</v>
      </c>
      <c r="H29" s="1" t="s">
        <v>187</v>
      </c>
    </row>
    <row r="30" spans="1:8" x14ac:dyDescent="0.25">
      <c r="A30" s="1" t="s">
        <v>299</v>
      </c>
      <c r="B30" s="1">
        <v>1</v>
      </c>
      <c r="C30" s="1" t="s">
        <v>180</v>
      </c>
      <c r="D30" s="3">
        <v>638.78649199999995</v>
      </c>
      <c r="E30" s="3">
        <v>643.18649200000004</v>
      </c>
      <c r="F30" s="3">
        <f t="shared" si="0"/>
        <v>4.4000000000000909</v>
      </c>
      <c r="G30" s="2">
        <f t="shared" si="1"/>
        <v>14.43569553805804</v>
      </c>
      <c r="H30" s="1" t="s">
        <v>187</v>
      </c>
    </row>
    <row r="31" spans="1:8" x14ac:dyDescent="0.25">
      <c r="A31" s="1" t="s">
        <v>294</v>
      </c>
      <c r="B31" s="1">
        <v>1</v>
      </c>
      <c r="C31" s="1" t="s">
        <v>181</v>
      </c>
      <c r="D31" s="3">
        <v>643.18649200000004</v>
      </c>
      <c r="E31" s="3">
        <v>647.58649200000002</v>
      </c>
      <c r="F31" s="3">
        <f t="shared" si="0"/>
        <v>4.3999999999999773</v>
      </c>
      <c r="G31" s="2">
        <f t="shared" si="1"/>
        <v>14.435695538057667</v>
      </c>
      <c r="H31" s="1" t="s">
        <v>187</v>
      </c>
    </row>
    <row r="32" spans="1:8" x14ac:dyDescent="0.25">
      <c r="A32" s="1" t="s">
        <v>295</v>
      </c>
      <c r="B32" s="1">
        <v>1</v>
      </c>
      <c r="C32" s="1" t="s">
        <v>182</v>
      </c>
      <c r="D32" s="3">
        <v>647.58649200000002</v>
      </c>
      <c r="E32" s="3">
        <v>651.986492</v>
      </c>
      <c r="F32" s="3">
        <f t="shared" si="0"/>
        <v>4.3999999999999773</v>
      </c>
      <c r="G32" s="2">
        <f t="shared" si="1"/>
        <v>14.435695538057667</v>
      </c>
      <c r="H32" s="1" t="s">
        <v>187</v>
      </c>
    </row>
    <row r="33" spans="1:9" x14ac:dyDescent="0.25">
      <c r="A33" s="1" t="s">
        <v>296</v>
      </c>
      <c r="B33" s="1">
        <v>1</v>
      </c>
      <c r="C33" s="1" t="s">
        <v>183</v>
      </c>
      <c r="D33" s="3">
        <v>651.986492</v>
      </c>
      <c r="E33" s="3">
        <v>656.38649199999998</v>
      </c>
      <c r="F33" s="3">
        <f t="shared" si="0"/>
        <v>4.3999999999999773</v>
      </c>
      <c r="G33" s="2">
        <f t="shared" si="1"/>
        <v>14.435695538057667</v>
      </c>
      <c r="H33" s="1" t="s">
        <v>187</v>
      </c>
    </row>
    <row r="34" spans="1:9" x14ac:dyDescent="0.25">
      <c r="A34" s="1" t="s">
        <v>297</v>
      </c>
      <c r="B34" s="1">
        <v>1</v>
      </c>
      <c r="C34" s="1" t="s">
        <v>184</v>
      </c>
      <c r="D34" s="3">
        <v>656.38649199999998</v>
      </c>
      <c r="E34" s="3">
        <v>660.78649199999995</v>
      </c>
      <c r="F34" s="3">
        <f t="shared" si="0"/>
        <v>4.3999999999999773</v>
      </c>
      <c r="G34" s="2">
        <f t="shared" si="1"/>
        <v>14.435695538057667</v>
      </c>
      <c r="H34" s="1" t="s">
        <v>188</v>
      </c>
      <c r="I34" t="s">
        <v>363</v>
      </c>
    </row>
    <row r="35" spans="1:9" x14ac:dyDescent="0.25">
      <c r="A35" s="1" t="s">
        <v>298</v>
      </c>
      <c r="B35" s="1">
        <v>1</v>
      </c>
      <c r="C35" s="1" t="s">
        <v>185</v>
      </c>
      <c r="D35" s="3">
        <v>660.78649199999995</v>
      </c>
      <c r="E35" s="3">
        <v>665.18649200000004</v>
      </c>
      <c r="F35" s="3">
        <f t="shared" si="0"/>
        <v>4.4000000000000909</v>
      </c>
      <c r="G35" s="2">
        <f t="shared" si="1"/>
        <v>14.43569553805804</v>
      </c>
      <c r="H35" s="1" t="s">
        <v>188</v>
      </c>
    </row>
    <row r="36" spans="1:9" x14ac:dyDescent="0.25">
      <c r="A36" s="1" t="s">
        <v>300</v>
      </c>
      <c r="B36" s="1">
        <v>1</v>
      </c>
      <c r="C36" s="1" t="s">
        <v>186</v>
      </c>
      <c r="D36" s="3">
        <v>665.18649200000004</v>
      </c>
      <c r="E36" s="3">
        <v>669.58649200000002</v>
      </c>
      <c r="F36" s="3">
        <f t="shared" si="0"/>
        <v>4.3999999999999773</v>
      </c>
      <c r="G36" s="2">
        <f t="shared" si="1"/>
        <v>14.435695538057667</v>
      </c>
      <c r="H36" s="1" t="s">
        <v>188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/>
  </sheetViews>
  <sheetFormatPr defaultRowHeight="15" x14ac:dyDescent="0.25"/>
  <cols>
    <col min="1" max="1" width="13.85546875" bestFit="1" customWidth="1"/>
    <col min="3" max="5" width="10.5703125" bestFit="1" customWidth="1"/>
    <col min="8" max="8" width="17.7109375" style="1" customWidth="1"/>
  </cols>
  <sheetData>
    <row r="1" spans="1:9" ht="15.75" thickBot="1" x14ac:dyDescent="0.3">
      <c r="A1" s="12" t="s">
        <v>227</v>
      </c>
      <c r="B1" s="12" t="s">
        <v>108</v>
      </c>
      <c r="C1" s="12" t="s">
        <v>52</v>
      </c>
      <c r="D1" s="13" t="s">
        <v>22</v>
      </c>
      <c r="E1" s="13" t="s">
        <v>23</v>
      </c>
      <c r="F1" s="13" t="s">
        <v>25</v>
      </c>
      <c r="G1" s="14" t="s">
        <v>26</v>
      </c>
      <c r="H1" s="3" t="s">
        <v>362</v>
      </c>
      <c r="I1" s="3" t="s">
        <v>360</v>
      </c>
    </row>
    <row r="2" spans="1:9" x14ac:dyDescent="0.25">
      <c r="A2" s="1" t="s">
        <v>228</v>
      </c>
      <c r="B2" s="1">
        <v>10</v>
      </c>
      <c r="C2" s="1" t="s">
        <v>224</v>
      </c>
      <c r="D2" s="3">
        <v>514.74000100000001</v>
      </c>
      <c r="E2" s="3">
        <v>519.10765100000003</v>
      </c>
      <c r="F2" s="3">
        <f t="shared" ref="F2:F4" si="0">E2-D2</f>
        <v>4.367650000000026</v>
      </c>
      <c r="G2" s="2">
        <f t="shared" ref="G2:G4" si="1">F2/0.3048</f>
        <v>14.329560367454153</v>
      </c>
      <c r="H2" s="1" t="s">
        <v>361</v>
      </c>
    </row>
    <row r="3" spans="1:9" x14ac:dyDescent="0.25">
      <c r="A3" s="1" t="s">
        <v>229</v>
      </c>
      <c r="B3" s="1">
        <v>10</v>
      </c>
      <c r="C3" s="1" t="s">
        <v>225</v>
      </c>
      <c r="D3" s="3">
        <v>519.10765100000003</v>
      </c>
      <c r="E3" s="3">
        <v>523.120318</v>
      </c>
      <c r="F3" s="3">
        <f t="shared" si="0"/>
        <v>4.0126669999999649</v>
      </c>
      <c r="G3" s="2">
        <f t="shared" si="1"/>
        <v>13.164917979002508</v>
      </c>
      <c r="H3" s="1" t="s">
        <v>187</v>
      </c>
    </row>
    <row r="4" spans="1:9" x14ac:dyDescent="0.25">
      <c r="A4" s="1" t="s">
        <v>230</v>
      </c>
      <c r="B4" s="1">
        <v>10</v>
      </c>
      <c r="C4" s="1" t="s">
        <v>226</v>
      </c>
      <c r="D4" s="3">
        <v>523.120318</v>
      </c>
      <c r="E4" s="3">
        <v>527.13298499999996</v>
      </c>
      <c r="F4" s="3">
        <f t="shared" si="0"/>
        <v>4.0126669999999649</v>
      </c>
      <c r="G4" s="2">
        <f t="shared" si="1"/>
        <v>13.164917979002508</v>
      </c>
      <c r="H4" s="1" t="s">
        <v>187</v>
      </c>
    </row>
    <row r="5" spans="1:9" x14ac:dyDescent="0.25">
      <c r="A5" s="1" t="s">
        <v>231</v>
      </c>
      <c r="B5" s="1">
        <v>10</v>
      </c>
      <c r="C5" s="1" t="s">
        <v>189</v>
      </c>
      <c r="D5" s="3">
        <v>527.13298499999996</v>
      </c>
      <c r="E5" s="3">
        <v>531.14565100000004</v>
      </c>
      <c r="F5" s="3">
        <f>E5-D5</f>
        <v>4.0126660000000811</v>
      </c>
      <c r="G5" s="2">
        <f>F5/0.3048</f>
        <v>13.164914698162995</v>
      </c>
      <c r="H5" s="1" t="s">
        <v>187</v>
      </c>
    </row>
    <row r="6" spans="1:9" x14ac:dyDescent="0.25">
      <c r="A6" s="1" t="s">
        <v>232</v>
      </c>
      <c r="B6" s="1">
        <v>10</v>
      </c>
      <c r="C6" s="1" t="s">
        <v>190</v>
      </c>
      <c r="D6" s="3">
        <v>531.14565100000004</v>
      </c>
      <c r="E6" s="3">
        <v>535.15831800000001</v>
      </c>
      <c r="F6" s="3">
        <f t="shared" ref="F6:F39" si="2">E6-D6</f>
        <v>4.0126669999999649</v>
      </c>
      <c r="G6" s="2">
        <f t="shared" ref="G6:G39" si="3">F6/0.3048</f>
        <v>13.164917979002508</v>
      </c>
      <c r="H6" s="1" t="s">
        <v>187</v>
      </c>
    </row>
    <row r="7" spans="1:9" x14ac:dyDescent="0.25">
      <c r="A7" s="1" t="s">
        <v>233</v>
      </c>
      <c r="B7" s="1">
        <v>10</v>
      </c>
      <c r="C7" s="1" t="s">
        <v>191</v>
      </c>
      <c r="D7" s="3">
        <v>535.15831800000001</v>
      </c>
      <c r="E7" s="3">
        <v>539.17098499999997</v>
      </c>
      <c r="F7" s="3">
        <f t="shared" si="2"/>
        <v>4.0126669999999649</v>
      </c>
      <c r="G7" s="2">
        <f t="shared" si="3"/>
        <v>13.164917979002508</v>
      </c>
      <c r="H7" s="1" t="s">
        <v>187</v>
      </c>
    </row>
    <row r="8" spans="1:9" x14ac:dyDescent="0.25">
      <c r="A8" s="1" t="s">
        <v>234</v>
      </c>
      <c r="B8" s="1">
        <v>10</v>
      </c>
      <c r="C8" s="1" t="s">
        <v>192</v>
      </c>
      <c r="D8" s="3">
        <v>539.17098499999997</v>
      </c>
      <c r="E8" s="3">
        <v>543.18365100000005</v>
      </c>
      <c r="F8" s="3">
        <f t="shared" si="2"/>
        <v>4.0126660000000811</v>
      </c>
      <c r="G8" s="2">
        <f t="shared" si="3"/>
        <v>13.164914698162995</v>
      </c>
      <c r="H8" s="1" t="s">
        <v>187</v>
      </c>
    </row>
    <row r="9" spans="1:9" x14ac:dyDescent="0.25">
      <c r="A9" s="1" t="s">
        <v>235</v>
      </c>
      <c r="B9" s="1">
        <v>10</v>
      </c>
      <c r="C9" s="1" t="s">
        <v>193</v>
      </c>
      <c r="D9" s="3">
        <v>543.18365100000005</v>
      </c>
      <c r="E9" s="3">
        <v>547.19631800000002</v>
      </c>
      <c r="F9" s="3">
        <f t="shared" si="2"/>
        <v>4.0126669999999649</v>
      </c>
      <c r="G9" s="2">
        <f t="shared" si="3"/>
        <v>13.164917979002508</v>
      </c>
      <c r="H9" s="1" t="s">
        <v>187</v>
      </c>
    </row>
    <row r="10" spans="1:9" x14ac:dyDescent="0.25">
      <c r="A10" s="1" t="s">
        <v>236</v>
      </c>
      <c r="B10" s="1">
        <v>10</v>
      </c>
      <c r="C10" s="1" t="s">
        <v>194</v>
      </c>
      <c r="D10" s="3">
        <v>547.19631800000002</v>
      </c>
      <c r="E10" s="3">
        <v>551.20898499999998</v>
      </c>
      <c r="F10" s="3">
        <f t="shared" si="2"/>
        <v>4.0126669999999649</v>
      </c>
      <c r="G10" s="2">
        <f t="shared" si="3"/>
        <v>13.164917979002508</v>
      </c>
      <c r="H10" s="1" t="s">
        <v>351</v>
      </c>
    </row>
    <row r="11" spans="1:9" x14ac:dyDescent="0.25">
      <c r="A11" s="1" t="s">
        <v>237</v>
      </c>
      <c r="B11" s="1">
        <v>10</v>
      </c>
      <c r="C11" s="1" t="s">
        <v>195</v>
      </c>
      <c r="D11" s="3">
        <v>551.20898499999998</v>
      </c>
      <c r="E11" s="3">
        <v>555.22165099999995</v>
      </c>
      <c r="F11" s="3">
        <f t="shared" si="2"/>
        <v>4.0126659999999674</v>
      </c>
      <c r="G11" s="2">
        <f t="shared" si="3"/>
        <v>13.164914698162622</v>
      </c>
      <c r="H11" s="1" t="s">
        <v>187</v>
      </c>
    </row>
    <row r="12" spans="1:9" x14ac:dyDescent="0.25">
      <c r="A12" s="1" t="s">
        <v>238</v>
      </c>
      <c r="B12" s="1">
        <v>10</v>
      </c>
      <c r="C12" s="1" t="s">
        <v>196</v>
      </c>
      <c r="D12" s="3">
        <v>555.22165099999995</v>
      </c>
      <c r="E12" s="3">
        <v>559.23431800000003</v>
      </c>
      <c r="F12" s="3">
        <f t="shared" si="2"/>
        <v>4.0126670000000786</v>
      </c>
      <c r="G12" s="2">
        <f t="shared" si="3"/>
        <v>13.164917979002881</v>
      </c>
      <c r="H12" s="1" t="s">
        <v>187</v>
      </c>
    </row>
    <row r="13" spans="1:9" x14ac:dyDescent="0.25">
      <c r="A13" s="1" t="s">
        <v>239</v>
      </c>
      <c r="B13" s="1">
        <v>10</v>
      </c>
      <c r="C13" s="1" t="s">
        <v>197</v>
      </c>
      <c r="D13" s="3">
        <v>559.23431800000003</v>
      </c>
      <c r="E13" s="3">
        <v>563.246985</v>
      </c>
      <c r="F13" s="3">
        <f t="shared" si="2"/>
        <v>4.0126669999999649</v>
      </c>
      <c r="G13" s="2">
        <f t="shared" si="3"/>
        <v>13.164917979002508</v>
      </c>
      <c r="H13" s="1" t="s">
        <v>187</v>
      </c>
    </row>
    <row r="14" spans="1:9" x14ac:dyDescent="0.25">
      <c r="A14" s="1" t="s">
        <v>240</v>
      </c>
      <c r="B14" s="1">
        <v>10</v>
      </c>
      <c r="C14" s="1" t="s">
        <v>198</v>
      </c>
      <c r="D14" s="3">
        <v>563.246985</v>
      </c>
      <c r="E14" s="3">
        <v>567.25965099999996</v>
      </c>
      <c r="F14" s="3">
        <f t="shared" si="2"/>
        <v>4.0126659999999674</v>
      </c>
      <c r="G14" s="2">
        <f t="shared" si="3"/>
        <v>13.164914698162622</v>
      </c>
      <c r="H14" s="1" t="s">
        <v>187</v>
      </c>
    </row>
    <row r="15" spans="1:9" x14ac:dyDescent="0.25">
      <c r="A15" s="1" t="s">
        <v>241</v>
      </c>
      <c r="B15" s="1">
        <v>10</v>
      </c>
      <c r="C15" s="1" t="s">
        <v>199</v>
      </c>
      <c r="D15" s="3">
        <v>567.25965099999996</v>
      </c>
      <c r="E15" s="3">
        <v>571.27231800000004</v>
      </c>
      <c r="F15" s="3">
        <f t="shared" si="2"/>
        <v>4.0126670000000786</v>
      </c>
      <c r="G15" s="2">
        <f t="shared" si="3"/>
        <v>13.164917979002881</v>
      </c>
      <c r="H15" s="1" t="s">
        <v>187</v>
      </c>
    </row>
    <row r="16" spans="1:9" x14ac:dyDescent="0.25">
      <c r="A16" s="1" t="s">
        <v>242</v>
      </c>
      <c r="B16" s="1">
        <v>10</v>
      </c>
      <c r="C16" s="1" t="s">
        <v>200</v>
      </c>
      <c r="D16" s="3">
        <v>571.27231800000004</v>
      </c>
      <c r="E16" s="3">
        <v>575.28498500000001</v>
      </c>
      <c r="F16" s="3">
        <f t="shared" si="2"/>
        <v>4.0126669999999649</v>
      </c>
      <c r="G16" s="2">
        <f t="shared" si="3"/>
        <v>13.164917979002508</v>
      </c>
      <c r="H16" s="1" t="s">
        <v>187</v>
      </c>
    </row>
    <row r="17" spans="1:8" x14ac:dyDescent="0.25">
      <c r="A17" s="1" t="s">
        <v>243</v>
      </c>
      <c r="B17" s="1">
        <v>10</v>
      </c>
      <c r="C17" s="1" t="s">
        <v>201</v>
      </c>
      <c r="D17" s="3">
        <v>575.28498500000001</v>
      </c>
      <c r="E17" s="3">
        <v>579.29765099999997</v>
      </c>
      <c r="F17" s="3">
        <f t="shared" si="2"/>
        <v>4.0126659999999674</v>
      </c>
      <c r="G17" s="2">
        <f t="shared" si="3"/>
        <v>13.164914698162622</v>
      </c>
      <c r="H17" s="1" t="s">
        <v>352</v>
      </c>
    </row>
    <row r="18" spans="1:8" x14ac:dyDescent="0.25">
      <c r="A18" s="1" t="s">
        <v>244</v>
      </c>
      <c r="B18" s="1">
        <v>10</v>
      </c>
      <c r="C18" s="1" t="s">
        <v>202</v>
      </c>
      <c r="D18" s="3">
        <v>579.29765099999997</v>
      </c>
      <c r="E18" s="3">
        <v>583.31031800000005</v>
      </c>
      <c r="F18" s="3">
        <f t="shared" si="2"/>
        <v>4.0126670000000786</v>
      </c>
      <c r="G18" s="2">
        <f t="shared" si="3"/>
        <v>13.164917979002881</v>
      </c>
      <c r="H18" s="1" t="s">
        <v>187</v>
      </c>
    </row>
    <row r="19" spans="1:8" x14ac:dyDescent="0.25">
      <c r="A19" s="1" t="s">
        <v>245</v>
      </c>
      <c r="B19" s="1">
        <v>10</v>
      </c>
      <c r="C19" s="1" t="s">
        <v>203</v>
      </c>
      <c r="D19" s="3">
        <v>583.31031800000005</v>
      </c>
      <c r="E19" s="3">
        <v>587.32298500000002</v>
      </c>
      <c r="F19" s="3">
        <f t="shared" si="2"/>
        <v>4.0126669999999649</v>
      </c>
      <c r="G19" s="2">
        <f t="shared" si="3"/>
        <v>13.164917979002508</v>
      </c>
      <c r="H19" s="1" t="s">
        <v>187</v>
      </c>
    </row>
    <row r="20" spans="1:8" x14ac:dyDescent="0.25">
      <c r="A20" s="1" t="s">
        <v>246</v>
      </c>
      <c r="B20" s="1">
        <v>10</v>
      </c>
      <c r="C20" s="1" t="s">
        <v>204</v>
      </c>
      <c r="D20" s="3">
        <v>587.32298500000002</v>
      </c>
      <c r="E20" s="3">
        <v>591.33565099999998</v>
      </c>
      <c r="F20" s="3">
        <f t="shared" si="2"/>
        <v>4.0126659999999674</v>
      </c>
      <c r="G20" s="2">
        <f t="shared" si="3"/>
        <v>13.164914698162622</v>
      </c>
      <c r="H20" s="1" t="s">
        <v>187</v>
      </c>
    </row>
    <row r="21" spans="1:8" x14ac:dyDescent="0.25">
      <c r="A21" s="1" t="s">
        <v>247</v>
      </c>
      <c r="B21" s="1">
        <v>10</v>
      </c>
      <c r="C21" s="1" t="s">
        <v>205</v>
      </c>
      <c r="D21" s="3">
        <v>591.33565099999998</v>
      </c>
      <c r="E21" s="3">
        <v>595.34831799999995</v>
      </c>
      <c r="F21" s="3">
        <f t="shared" si="2"/>
        <v>4.0126669999999649</v>
      </c>
      <c r="G21" s="2">
        <f t="shared" si="3"/>
        <v>13.164917979002508</v>
      </c>
      <c r="H21" s="1" t="s">
        <v>187</v>
      </c>
    </row>
    <row r="22" spans="1:8" x14ac:dyDescent="0.25">
      <c r="A22" s="1" t="s">
        <v>248</v>
      </c>
      <c r="B22" s="1">
        <v>10</v>
      </c>
      <c r="C22" s="1" t="s">
        <v>206</v>
      </c>
      <c r="D22" s="3">
        <v>595.34831799999995</v>
      </c>
      <c r="E22" s="3">
        <v>599.36098500000003</v>
      </c>
      <c r="F22" s="3">
        <f t="shared" si="2"/>
        <v>4.0126670000000786</v>
      </c>
      <c r="G22" s="2">
        <f t="shared" si="3"/>
        <v>13.164917979002881</v>
      </c>
      <c r="H22" s="1" t="s">
        <v>187</v>
      </c>
    </row>
    <row r="23" spans="1:8" x14ac:dyDescent="0.25">
      <c r="A23" s="1" t="s">
        <v>249</v>
      </c>
      <c r="B23" s="1">
        <v>10</v>
      </c>
      <c r="C23" s="1" t="s">
        <v>207</v>
      </c>
      <c r="D23" s="3">
        <v>599.36098500000003</v>
      </c>
      <c r="E23" s="3">
        <v>603.373651</v>
      </c>
      <c r="F23" s="3">
        <f t="shared" si="2"/>
        <v>4.0126659999999674</v>
      </c>
      <c r="G23" s="2">
        <f t="shared" si="3"/>
        <v>13.164914698162622</v>
      </c>
      <c r="H23" s="1" t="s">
        <v>187</v>
      </c>
    </row>
    <row r="24" spans="1:8" x14ac:dyDescent="0.25">
      <c r="A24" s="1" t="s">
        <v>250</v>
      </c>
      <c r="B24" s="1">
        <v>10</v>
      </c>
      <c r="C24" s="1" t="s">
        <v>208</v>
      </c>
      <c r="D24" s="3">
        <v>603.373651</v>
      </c>
      <c r="E24" s="3">
        <v>607.38631799999996</v>
      </c>
      <c r="F24" s="3">
        <f t="shared" si="2"/>
        <v>4.0126669999999649</v>
      </c>
      <c r="G24" s="2">
        <f t="shared" si="3"/>
        <v>13.164917979002508</v>
      </c>
      <c r="H24" s="1" t="s">
        <v>187</v>
      </c>
    </row>
    <row r="25" spans="1:8" x14ac:dyDescent="0.25">
      <c r="A25" s="1" t="s">
        <v>251</v>
      </c>
      <c r="B25" s="1">
        <v>10</v>
      </c>
      <c r="C25" s="1" t="s">
        <v>209</v>
      </c>
      <c r="D25" s="3">
        <v>607.38631799999996</v>
      </c>
      <c r="E25" s="3">
        <v>611.39898500000004</v>
      </c>
      <c r="F25" s="3">
        <f t="shared" si="2"/>
        <v>4.0126670000000786</v>
      </c>
      <c r="G25" s="2">
        <f t="shared" si="3"/>
        <v>13.164917979002881</v>
      </c>
      <c r="H25" s="1" t="s">
        <v>187</v>
      </c>
    </row>
    <row r="26" spans="1:8" x14ac:dyDescent="0.25">
      <c r="A26" s="1" t="s">
        <v>252</v>
      </c>
      <c r="B26" s="1">
        <v>10</v>
      </c>
      <c r="C26" s="1" t="s">
        <v>210</v>
      </c>
      <c r="D26" s="3">
        <v>611.39898500000004</v>
      </c>
      <c r="E26" s="3">
        <v>615.41165100000001</v>
      </c>
      <c r="F26" s="3">
        <f t="shared" si="2"/>
        <v>4.0126659999999674</v>
      </c>
      <c r="G26" s="2">
        <f t="shared" si="3"/>
        <v>13.164914698162622</v>
      </c>
      <c r="H26" s="1" t="s">
        <v>187</v>
      </c>
    </row>
    <row r="27" spans="1:8" x14ac:dyDescent="0.25">
      <c r="A27" s="1" t="s">
        <v>253</v>
      </c>
      <c r="B27" s="1">
        <v>10</v>
      </c>
      <c r="C27" s="1" t="s">
        <v>211</v>
      </c>
      <c r="D27" s="3">
        <v>615.41165100000001</v>
      </c>
      <c r="E27" s="3">
        <v>619.42431799999997</v>
      </c>
      <c r="F27" s="3">
        <f t="shared" si="2"/>
        <v>4.0126669999999649</v>
      </c>
      <c r="G27" s="2">
        <f t="shared" si="3"/>
        <v>13.164917979002508</v>
      </c>
      <c r="H27" s="1" t="s">
        <v>187</v>
      </c>
    </row>
    <row r="28" spans="1:8" x14ac:dyDescent="0.25">
      <c r="A28" s="1" t="s">
        <v>254</v>
      </c>
      <c r="B28" s="1">
        <v>10</v>
      </c>
      <c r="C28" s="1" t="s">
        <v>212</v>
      </c>
      <c r="D28" s="3">
        <v>619.42431799999997</v>
      </c>
      <c r="E28" s="3">
        <v>623.43698500000005</v>
      </c>
      <c r="F28" s="3">
        <f t="shared" si="2"/>
        <v>4.0126670000000786</v>
      </c>
      <c r="G28" s="2">
        <f t="shared" si="3"/>
        <v>13.164917979002881</v>
      </c>
      <c r="H28" s="1" t="s">
        <v>187</v>
      </c>
    </row>
    <row r="29" spans="1:8" x14ac:dyDescent="0.25">
      <c r="A29" s="1" t="s">
        <v>255</v>
      </c>
      <c r="B29" s="1">
        <v>10</v>
      </c>
      <c r="C29" s="1" t="s">
        <v>213</v>
      </c>
      <c r="D29" s="3">
        <v>623.43698500000005</v>
      </c>
      <c r="E29" s="3">
        <v>627.44965100000002</v>
      </c>
      <c r="F29" s="3">
        <f t="shared" si="2"/>
        <v>4.0126659999999674</v>
      </c>
      <c r="G29" s="2">
        <f t="shared" si="3"/>
        <v>13.164914698162622</v>
      </c>
      <c r="H29" s="1" t="s">
        <v>187</v>
      </c>
    </row>
    <row r="30" spans="1:8" x14ac:dyDescent="0.25">
      <c r="A30" s="1" t="s">
        <v>256</v>
      </c>
      <c r="B30" s="1">
        <v>10</v>
      </c>
      <c r="C30" s="1" t="s">
        <v>214</v>
      </c>
      <c r="D30" s="3">
        <v>627.44965100000002</v>
      </c>
      <c r="E30" s="3">
        <v>631.46231799999998</v>
      </c>
      <c r="F30" s="3">
        <f t="shared" si="2"/>
        <v>4.0126669999999649</v>
      </c>
      <c r="G30" s="2">
        <f t="shared" si="3"/>
        <v>13.164917979002508</v>
      </c>
      <c r="H30" s="1" t="s">
        <v>187</v>
      </c>
    </row>
    <row r="31" spans="1:8" x14ac:dyDescent="0.25">
      <c r="A31" s="1" t="s">
        <v>257</v>
      </c>
      <c r="B31" s="1">
        <v>10</v>
      </c>
      <c r="C31" s="1" t="s">
        <v>215</v>
      </c>
      <c r="D31" s="3">
        <v>631.46231799999998</v>
      </c>
      <c r="E31" s="3">
        <v>635.47498499999995</v>
      </c>
      <c r="F31" s="3">
        <f t="shared" si="2"/>
        <v>4.0126669999999649</v>
      </c>
      <c r="G31" s="2">
        <f t="shared" si="3"/>
        <v>13.164917979002508</v>
      </c>
      <c r="H31" s="1" t="s">
        <v>187</v>
      </c>
    </row>
    <row r="32" spans="1:8" x14ac:dyDescent="0.25">
      <c r="A32" s="1" t="s">
        <v>258</v>
      </c>
      <c r="B32" s="1">
        <v>10</v>
      </c>
      <c r="C32" s="1" t="s">
        <v>216</v>
      </c>
      <c r="D32" s="3">
        <v>635.47498499999995</v>
      </c>
      <c r="E32" s="3">
        <v>639.48765100000003</v>
      </c>
      <c r="F32" s="3">
        <f t="shared" si="2"/>
        <v>4.0126660000000811</v>
      </c>
      <c r="G32" s="2">
        <f t="shared" si="3"/>
        <v>13.164914698162995</v>
      </c>
      <c r="H32" s="1" t="s">
        <v>187</v>
      </c>
    </row>
    <row r="33" spans="1:8" x14ac:dyDescent="0.25">
      <c r="A33" s="1" t="s">
        <v>259</v>
      </c>
      <c r="B33" s="1">
        <v>10</v>
      </c>
      <c r="C33" s="1" t="s">
        <v>217</v>
      </c>
      <c r="D33" s="3">
        <v>639.48765100000003</v>
      </c>
      <c r="E33" s="3">
        <v>643.50031799999999</v>
      </c>
      <c r="F33" s="3">
        <f t="shared" si="2"/>
        <v>4.0126669999999649</v>
      </c>
      <c r="G33" s="2">
        <f t="shared" si="3"/>
        <v>13.164917979002508</v>
      </c>
      <c r="H33" s="1" t="s">
        <v>187</v>
      </c>
    </row>
    <row r="34" spans="1:8" x14ac:dyDescent="0.25">
      <c r="A34" s="1" t="s">
        <v>260</v>
      </c>
      <c r="B34" s="1">
        <v>10</v>
      </c>
      <c r="C34" s="1" t="s">
        <v>218</v>
      </c>
      <c r="D34" s="3">
        <v>643.50031799999999</v>
      </c>
      <c r="E34" s="3">
        <v>647.51298499999996</v>
      </c>
      <c r="F34" s="3">
        <f t="shared" si="2"/>
        <v>4.0126669999999649</v>
      </c>
      <c r="G34" s="2">
        <f t="shared" si="3"/>
        <v>13.164917979002508</v>
      </c>
      <c r="H34" s="1" t="s">
        <v>187</v>
      </c>
    </row>
    <row r="35" spans="1:8" x14ac:dyDescent="0.25">
      <c r="A35" s="1" t="s">
        <v>261</v>
      </c>
      <c r="B35" s="1">
        <v>10</v>
      </c>
      <c r="C35" s="1" t="s">
        <v>219</v>
      </c>
      <c r="D35" s="3">
        <v>647.51298499999996</v>
      </c>
      <c r="E35" s="3">
        <v>651.52565100000004</v>
      </c>
      <c r="F35" s="3">
        <f t="shared" si="2"/>
        <v>4.0126660000000811</v>
      </c>
      <c r="G35" s="2">
        <f t="shared" si="3"/>
        <v>13.164914698162995</v>
      </c>
      <c r="H35" s="1" t="s">
        <v>187</v>
      </c>
    </row>
    <row r="36" spans="1:8" x14ac:dyDescent="0.25">
      <c r="A36" s="1" t="s">
        <v>262</v>
      </c>
      <c r="B36" s="1">
        <v>10</v>
      </c>
      <c r="C36" s="1" t="s">
        <v>220</v>
      </c>
      <c r="D36" s="3">
        <v>651.52565100000004</v>
      </c>
      <c r="E36" s="3">
        <v>655.538318</v>
      </c>
      <c r="F36" s="3">
        <f t="shared" si="2"/>
        <v>4.0126669999999649</v>
      </c>
      <c r="G36" s="2">
        <f t="shared" si="3"/>
        <v>13.164917979002508</v>
      </c>
      <c r="H36" s="1" t="s">
        <v>187</v>
      </c>
    </row>
    <row r="37" spans="1:8" x14ac:dyDescent="0.25">
      <c r="A37" s="1" t="s">
        <v>263</v>
      </c>
      <c r="B37" s="1">
        <v>10</v>
      </c>
      <c r="C37" s="1" t="s">
        <v>221</v>
      </c>
      <c r="D37" s="3">
        <v>655.538318</v>
      </c>
      <c r="E37" s="3">
        <v>659.55098499999997</v>
      </c>
      <c r="F37" s="3">
        <f t="shared" si="2"/>
        <v>4.0126669999999649</v>
      </c>
      <c r="G37" s="2">
        <f t="shared" si="3"/>
        <v>13.164917979002508</v>
      </c>
      <c r="H37" s="1" t="s">
        <v>188</v>
      </c>
    </row>
    <row r="38" spans="1:8" x14ac:dyDescent="0.25">
      <c r="A38" s="1" t="s">
        <v>264</v>
      </c>
      <c r="B38" s="1">
        <v>10</v>
      </c>
      <c r="C38" s="1" t="s">
        <v>222</v>
      </c>
      <c r="D38" s="3">
        <v>659.55098499999997</v>
      </c>
      <c r="E38" s="3">
        <v>663.56365100000005</v>
      </c>
      <c r="F38" s="3">
        <f t="shared" si="2"/>
        <v>4.0126660000000811</v>
      </c>
      <c r="G38" s="2">
        <f t="shared" si="3"/>
        <v>13.164914698162995</v>
      </c>
      <c r="H38" s="1" t="s">
        <v>188</v>
      </c>
    </row>
    <row r="39" spans="1:8" x14ac:dyDescent="0.25">
      <c r="A39" s="1" t="s">
        <v>265</v>
      </c>
      <c r="B39" s="1">
        <v>10</v>
      </c>
      <c r="C39" s="1" t="s">
        <v>223</v>
      </c>
      <c r="D39" s="3">
        <v>663.56365100000005</v>
      </c>
      <c r="E39" s="3">
        <v>667.57631800000001</v>
      </c>
      <c r="F39" s="3">
        <f t="shared" si="2"/>
        <v>4.0126669999999649</v>
      </c>
      <c r="G39" s="2">
        <f t="shared" si="3"/>
        <v>13.164917979002508</v>
      </c>
      <c r="H39" s="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scS</vt:lpstr>
      <vt:lpstr>cuH</vt:lpstr>
      <vt:lpstr>SXR</vt:lpstr>
      <vt:lpstr>HXR</vt:lpstr>
      <vt:lpstr>cuH!Print_Area</vt:lpstr>
      <vt:lpstr>scS!Print_Area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Woodley, Mark D.</dc:creator>
  <cp:lastModifiedBy>Woodley, Mark D.</cp:lastModifiedBy>
  <cp:lastPrinted>2017-11-08T16:00:04Z</cp:lastPrinted>
  <dcterms:created xsi:type="dcterms:W3CDTF">2017-11-03T14:45:36Z</dcterms:created>
  <dcterms:modified xsi:type="dcterms:W3CDTF">2026-10-07T17:21:23Z</dcterms:modified>
</cp:coreProperties>
</file>